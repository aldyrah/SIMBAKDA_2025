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A.1.1.1" sheetId="1" r:id="rId1"/>
  </sheets>
  <calcPr calcId="144525"/>
</workbook>
</file>

<file path=xl/calcChain.xml><?xml version="1.0" encoding="utf-8"?>
<calcChain xmlns="http://schemas.openxmlformats.org/spreadsheetml/2006/main">
  <c r="Q16" i="1" l="1"/>
  <c r="N16" i="1"/>
  <c r="P16" i="1" s="1"/>
  <c r="N15" i="1"/>
  <c r="P15" i="1" s="1"/>
  <c r="P19" i="1" s="1"/>
</calcChain>
</file>

<file path=xl/sharedStrings.xml><?xml version="1.0" encoding="utf-8"?>
<sst xmlns="http://schemas.openxmlformats.org/spreadsheetml/2006/main" count="116" uniqueCount="71">
  <si>
    <t xml:space="preserve">LAPORAN PENGADAAN BMD BERUPA ASET LANCAR PERSEDIAAN </t>
  </si>
  <si>
    <t>KUASA PENGGUNA ANGGARAN ATAU PENGGUNA ANGGARAN</t>
  </si>
  <si>
    <t>Badan Pengelolaan Keuangan dan Aset Daerah</t>
  </si>
  <si>
    <t>TAHUN 2024</t>
  </si>
  <si>
    <t>Propinsi Papua Selatan</t>
  </si>
  <si>
    <t>Kabupaten Asmat</t>
  </si>
  <si>
    <t>Penggolongan sesuai kodefikasi barang</t>
  </si>
  <si>
    <t>Spesifikasi Nama Barang</t>
  </si>
  <si>
    <t>Merk/Type</t>
  </si>
  <si>
    <t>Jumlah Barang</t>
  </si>
  <si>
    <t>Satuan Barang</t>
  </si>
  <si>
    <t>Harga Satuan</t>
  </si>
  <si>
    <t>Total Nilai Barang</t>
  </si>
  <si>
    <t>Total Biaya Atribusi</t>
  </si>
  <si>
    <t>Nilai Perolehan Barang</t>
  </si>
  <si>
    <t>Harga Satuan Perolehan</t>
  </si>
  <si>
    <t xml:space="preserve">Sub Kegiatan dan Rekening Anggaran Belanja Daerah Atas Pengadaan Barang </t>
  </si>
  <si>
    <t>Tanggal Perolehan</t>
  </si>
  <si>
    <t xml:space="preserve">Dokumen Sumber Pengadaan </t>
  </si>
  <si>
    <t>Keterangan</t>
  </si>
  <si>
    <t>Kode Barang</t>
  </si>
  <si>
    <t>Nama Barang</t>
  </si>
  <si>
    <t>Sub Kegiatan</t>
  </si>
  <si>
    <t>Rekening Belanja Daerah</t>
  </si>
  <si>
    <t>Kode Sub Kegiatan</t>
  </si>
  <si>
    <t>Nama Sub Kegiatan</t>
  </si>
  <si>
    <t>Kode Rekening</t>
  </si>
  <si>
    <t>Uraian Belanja</t>
  </si>
  <si>
    <t>Bentuk Kontrak</t>
  </si>
  <si>
    <t>Nama Penyedia</t>
  </si>
  <si>
    <t>Nomor Kontrak</t>
  </si>
  <si>
    <t>8(5x7)</t>
  </si>
  <si>
    <t>10(8+9)</t>
  </si>
  <si>
    <t>11(10/5)</t>
  </si>
  <si>
    <t>05</t>
  </si>
  <si>
    <t>12</t>
  </si>
  <si>
    <t>01</t>
  </si>
  <si>
    <t>00</t>
  </si>
  <si>
    <t>02</t>
  </si>
  <si>
    <t xml:space="preserve">Belanja Cetak NCR </t>
  </si>
  <si>
    <t>buku</t>
  </si>
  <si>
    <t xml:space="preserve">Kertas Ncr 7 Ply  Berlogo Kabupaten Asmat </t>
  </si>
  <si>
    <t>unit</t>
  </si>
  <si>
    <t>5.02.01.2.06.0004</t>
  </si>
  <si>
    <t>Penyediaan Bahan Logistik Kantor</t>
  </si>
  <si>
    <t>5.1.02.01.01.0024</t>
  </si>
  <si>
    <t>Belanja Alat/Bahan untuk Kegiatan Kantor-Alat Tulis Kantor</t>
  </si>
  <si>
    <t>20-12-2023</t>
  </si>
  <si>
    <t>ls-bend</t>
  </si>
  <si>
    <t>pihak ketiga</t>
  </si>
  <si>
    <t>05479/SP2D-TU/DAU/5.02.0.00.0.00.10.0000/2022</t>
  </si>
  <si>
    <t>-</t>
  </si>
  <si>
    <t>26</t>
  </si>
  <si>
    <t xml:space="preserve">Surat Berharga </t>
  </si>
  <si>
    <t>kertas karcis</t>
  </si>
  <si>
    <t xml:space="preserve">kertas   </t>
  </si>
  <si>
    <t>blok</t>
  </si>
  <si>
    <t>KARCIS PKL</t>
  </si>
  <si>
    <t>39</t>
  </si>
  <si>
    <t>Sovenir</t>
  </si>
  <si>
    <t>NOKEN DAN PATUNG</t>
  </si>
  <si>
    <t>LOKAL</t>
  </si>
  <si>
    <t>UNIT</t>
  </si>
  <si>
    <t>5.02.01.2.06.02</t>
  </si>
  <si>
    <t>Penyediaan Peralatan dan Perlengkapan Kantor</t>
  </si>
  <si>
    <t>5.1.02.01.01.0039</t>
  </si>
  <si>
    <t>Belanja Barang untuk Dijual/Diserahkan kepada Masyarakat</t>
  </si>
  <si>
    <t>01-10-2023</t>
  </si>
  <si>
    <t>15028/SP2D-TU/DAU/5.02.0.00.0.00.10.0000/2023</t>
  </si>
  <si>
    <t>TOTAL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</si>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</sst>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wrapText="1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0" fillId="0" borderId="4" xfId="0" quotePrefix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43" fontId="0" fillId="0" borderId="4" xfId="1" applyFont="1" applyBorder="1" applyAlignment="1">
      <alignment vertical="center" wrapText="1"/>
    </xf>
    <xf numFmtId="43" fontId="0" fillId="0" borderId="4" xfId="0" applyNumberFormat="1" applyBorder="1" applyAlignment="1">
      <alignment vertical="center" wrapText="1"/>
    </xf>
    <xf numFmtId="0" fontId="0" fillId="0" borderId="0" xfId="0" applyAlignment="1">
      <alignment vertical="center"/>
    </xf>
    <xf numFmtId="14" fontId="0" fillId="0" borderId="4" xfId="0" quotePrefix="1" applyNumberFormat="1" applyBorder="1" applyAlignment="1">
      <alignment vertical="center" wrapText="1"/>
    </xf>
    <xf numFmtId="0" fontId="2" fillId="2" borderId="4" xfId="0" applyFont="1" applyFill="1" applyBorder="1" applyAlignment="1">
      <alignment wrapText="1"/>
    </xf>
    <xf numFmtId="43" fontId="2" fillId="2" borderId="4" xfId="0" applyNumberFormat="1" applyFont="1" applyFill="1" applyBorder="1" applyAlignment="1">
      <alignment wrapText="1"/>
    </xf>
    <xf numFmtId="0" fontId="2" fillId="2" borderId="4" xfId="0" applyFont="1" applyFill="1" applyBorder="1"/>
    <xf numFmtId="0" fontId="0" fillId="0" borderId="0" xfId="0" applyFill="1"/>
    <xf numFmtId="0" fontId="2" fillId="0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243840</xdr:colOff>
      <xdr:row>20</xdr:row>
      <xdr:rowOff>0</xdr:rowOff>
    </xdr:from>
    <xdr:to>
      <xdr:col>25</xdr:col>
      <xdr:colOff>541020</xdr:colOff>
      <xdr:row>30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F7DA0E36-E481-0744-6D26-D17BF577513C}"/>
            </a:ext>
          </a:extLst>
        </xdr:cNvPr>
        <xdr:cNvSpPr txBox="1"/>
      </xdr:nvSpPr>
      <xdr:spPr>
        <a:xfrm>
          <a:off x="13293090" y="7562850"/>
          <a:ext cx="428815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 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/>
        </a:p>
      </xdr:txBody>
    </xdr:sp>
    <xdr:clientData/>
  </xdr:twoCellAnchor>
  <xdr:twoCellAnchor editAs="oneCell">
    <xdr:from>
      <xdr:col>2</xdr:col>
      <xdr:colOff>66675</xdr:colOff>
      <xdr:row>1</xdr:row>
      <xdr:rowOff>95250</xdr:rowOff>
    </xdr:from>
    <xdr:to>
      <xdr:col>6</xdr:col>
      <xdr:colOff>95250</xdr:colOff>
      <xdr:row>5</xdr:row>
      <xdr:rowOff>57150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285750"/>
          <a:ext cx="7143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Z19"/>
  <sheetViews>
    <sheetView tabSelected="1" topLeftCell="M16" workbookViewId="0">
      <selection activeCell="S22" sqref="S22"/>
    </sheetView>
  </sheetViews>
  <sheetFormatPr defaultRowHeight="15" x14ac:dyDescent="0.25"/>
  <cols>
    <col min="1" max="7" width="2.5703125" customWidth="1"/>
    <col min="8" max="8" width="31" customWidth="1"/>
    <col min="9" max="9" width="10.85546875" style="1" customWidth="1"/>
    <col min="10" max="10" width="19.7109375" style="1" customWidth="1"/>
    <col min="11" max="12" width="9.140625" style="1"/>
    <col min="13" max="13" width="12.5703125" style="1" bestFit="1" customWidth="1"/>
    <col min="14" max="14" width="13.7109375" style="1" bestFit="1" customWidth="1"/>
    <col min="15" max="15" width="9.140625" style="1"/>
    <col min="16" max="16" width="14.7109375" style="1" bestFit="1" customWidth="1"/>
    <col min="17" max="17" width="12.5703125" style="1" bestFit="1" customWidth="1"/>
    <col min="18" max="18" width="11.7109375" style="1" customWidth="1"/>
    <col min="19" max="19" width="15.42578125" style="1" customWidth="1"/>
    <col min="20" max="20" width="9.140625" style="1"/>
    <col min="21" max="21" width="17.5703125" style="1" customWidth="1"/>
    <col min="22" max="22" width="8.140625" style="1" customWidth="1"/>
    <col min="25" max="25" width="15.85546875" customWidth="1"/>
  </cols>
  <sheetData>
    <row r="2" spans="1:26" x14ac:dyDescent="0.2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x14ac:dyDescent="0.25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x14ac:dyDescent="0.25">
      <c r="A4" s="23" t="s">
        <v>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x14ac:dyDescent="0.25">
      <c r="A5" s="23" t="s">
        <v>70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x14ac:dyDescent="0.25">
      <c r="A6" s="23" t="s">
        <v>3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8" spans="1:26" x14ac:dyDescent="0.25">
      <c r="A8" t="s">
        <v>4</v>
      </c>
    </row>
    <row r="9" spans="1:26" x14ac:dyDescent="0.25">
      <c r="A9" t="s">
        <v>5</v>
      </c>
    </row>
    <row r="11" spans="1:26" s="14" customFormat="1" ht="72" customHeight="1" x14ac:dyDescent="0.25">
      <c r="A11" s="24" t="s">
        <v>6</v>
      </c>
      <c r="B11" s="25"/>
      <c r="C11" s="25"/>
      <c r="D11" s="25"/>
      <c r="E11" s="25"/>
      <c r="F11" s="25"/>
      <c r="G11" s="25"/>
      <c r="H11" s="26"/>
      <c r="I11" s="19" t="s">
        <v>7</v>
      </c>
      <c r="J11" s="19" t="s">
        <v>8</v>
      </c>
      <c r="K11" s="19" t="s">
        <v>9</v>
      </c>
      <c r="L11" s="19" t="s">
        <v>10</v>
      </c>
      <c r="M11" s="19" t="s">
        <v>11</v>
      </c>
      <c r="N11" s="19" t="s">
        <v>12</v>
      </c>
      <c r="O11" s="19" t="s">
        <v>13</v>
      </c>
      <c r="P11" s="19" t="s">
        <v>14</v>
      </c>
      <c r="Q11" s="19" t="s">
        <v>15</v>
      </c>
      <c r="R11" s="19" t="s">
        <v>16</v>
      </c>
      <c r="S11" s="19"/>
      <c r="T11" s="19"/>
      <c r="U11" s="19"/>
      <c r="V11" s="19" t="s">
        <v>17</v>
      </c>
      <c r="W11" s="19" t="s">
        <v>18</v>
      </c>
      <c r="X11" s="19"/>
      <c r="Y11" s="19"/>
      <c r="Z11" s="20" t="s">
        <v>19</v>
      </c>
    </row>
    <row r="12" spans="1:26" s="14" customFormat="1" ht="28.9" customHeight="1" x14ac:dyDescent="0.25">
      <c r="A12" s="15" t="s">
        <v>20</v>
      </c>
      <c r="B12" s="15"/>
      <c r="C12" s="15"/>
      <c r="D12" s="15"/>
      <c r="E12" s="15"/>
      <c r="F12" s="15"/>
      <c r="G12" s="15"/>
      <c r="H12" s="20" t="s">
        <v>21</v>
      </c>
      <c r="I12" s="19"/>
      <c r="J12" s="19"/>
      <c r="K12" s="19"/>
      <c r="L12" s="19"/>
      <c r="M12" s="19"/>
      <c r="N12" s="19"/>
      <c r="O12" s="19"/>
      <c r="P12" s="19"/>
      <c r="Q12" s="19"/>
      <c r="R12" s="19" t="s">
        <v>22</v>
      </c>
      <c r="S12" s="19"/>
      <c r="T12" s="19" t="s">
        <v>23</v>
      </c>
      <c r="U12" s="19"/>
      <c r="V12" s="19"/>
      <c r="W12" s="2"/>
      <c r="X12" s="2"/>
      <c r="Y12" s="2"/>
      <c r="Z12" s="21"/>
    </row>
    <row r="13" spans="1:26" s="14" customFormat="1" ht="45" x14ac:dyDescent="0.25">
      <c r="A13" s="15"/>
      <c r="B13" s="15"/>
      <c r="C13" s="15"/>
      <c r="D13" s="15"/>
      <c r="E13" s="15"/>
      <c r="F13" s="15"/>
      <c r="G13" s="15"/>
      <c r="H13" s="22"/>
      <c r="I13" s="19"/>
      <c r="J13" s="19"/>
      <c r="K13" s="19"/>
      <c r="L13" s="19"/>
      <c r="M13" s="19"/>
      <c r="N13" s="19"/>
      <c r="O13" s="19"/>
      <c r="P13" s="19"/>
      <c r="Q13" s="19"/>
      <c r="R13" s="3" t="s">
        <v>24</v>
      </c>
      <c r="S13" s="3" t="s">
        <v>25</v>
      </c>
      <c r="T13" s="3" t="s">
        <v>26</v>
      </c>
      <c r="U13" s="3" t="s">
        <v>27</v>
      </c>
      <c r="V13" s="19"/>
      <c r="W13" s="3" t="s">
        <v>28</v>
      </c>
      <c r="X13" s="3" t="s">
        <v>29</v>
      </c>
      <c r="Y13" s="3" t="s">
        <v>30</v>
      </c>
      <c r="Z13" s="22"/>
    </row>
    <row r="14" spans="1:26" x14ac:dyDescent="0.25">
      <c r="A14" s="15">
        <v>1</v>
      </c>
      <c r="B14" s="15"/>
      <c r="C14" s="15"/>
      <c r="D14" s="15"/>
      <c r="E14" s="15"/>
      <c r="F14" s="15"/>
      <c r="G14" s="15"/>
      <c r="H14" s="2">
        <v>2</v>
      </c>
      <c r="I14" s="3">
        <v>3</v>
      </c>
      <c r="J14" s="2">
        <v>4</v>
      </c>
      <c r="K14" s="3">
        <v>5</v>
      </c>
      <c r="L14" s="2">
        <v>6</v>
      </c>
      <c r="M14" s="3">
        <v>7</v>
      </c>
      <c r="N14" s="2" t="s">
        <v>31</v>
      </c>
      <c r="O14" s="3">
        <v>9</v>
      </c>
      <c r="P14" s="2" t="s">
        <v>32</v>
      </c>
      <c r="Q14" s="3" t="s">
        <v>33</v>
      </c>
      <c r="R14" s="2">
        <v>12</v>
      </c>
      <c r="S14" s="3">
        <v>13</v>
      </c>
      <c r="T14" s="2">
        <v>14</v>
      </c>
      <c r="U14" s="3">
        <v>15</v>
      </c>
      <c r="V14" s="2">
        <v>16</v>
      </c>
      <c r="W14" s="3">
        <v>17</v>
      </c>
      <c r="X14" s="2">
        <v>18</v>
      </c>
      <c r="Y14" s="3">
        <v>19</v>
      </c>
      <c r="Z14" s="2">
        <v>20</v>
      </c>
    </row>
    <row r="15" spans="1:26" s="9" customFormat="1" ht="60" x14ac:dyDescent="0.25">
      <c r="A15" s="4" t="s">
        <v>34</v>
      </c>
      <c r="B15" s="4" t="s">
        <v>35</v>
      </c>
      <c r="C15" s="4" t="s">
        <v>36</v>
      </c>
      <c r="D15" s="4" t="s">
        <v>36</v>
      </c>
      <c r="E15" s="4" t="s">
        <v>37</v>
      </c>
      <c r="F15" s="4" t="s">
        <v>38</v>
      </c>
      <c r="G15" s="4" t="s">
        <v>34</v>
      </c>
      <c r="H15" s="5" t="s">
        <v>39</v>
      </c>
      <c r="I15" s="6" t="s">
        <v>40</v>
      </c>
      <c r="J15" s="6" t="s">
        <v>41</v>
      </c>
      <c r="K15" s="6">
        <v>40</v>
      </c>
      <c r="L15" s="6" t="s">
        <v>42</v>
      </c>
      <c r="M15" s="7">
        <v>167741.03139013454</v>
      </c>
      <c r="N15" s="8">
        <f>K15*M15</f>
        <v>6709641.255605381</v>
      </c>
      <c r="O15" s="7">
        <v>0</v>
      </c>
      <c r="P15" s="8">
        <f>N15+O15</f>
        <v>6709641.255605381</v>
      </c>
      <c r="Q15" s="7">
        <v>167741.03139013454</v>
      </c>
      <c r="R15" s="6" t="s">
        <v>43</v>
      </c>
      <c r="S15" s="6" t="s">
        <v>44</v>
      </c>
      <c r="T15" s="6" t="s">
        <v>45</v>
      </c>
      <c r="U15" s="6" t="s">
        <v>46</v>
      </c>
      <c r="V15" s="6" t="s">
        <v>47</v>
      </c>
      <c r="W15" s="5" t="s">
        <v>48</v>
      </c>
      <c r="X15" s="6" t="s">
        <v>49</v>
      </c>
      <c r="Y15" s="6" t="s">
        <v>50</v>
      </c>
      <c r="Z15" s="5" t="s">
        <v>51</v>
      </c>
    </row>
    <row r="16" spans="1:26" s="9" customFormat="1" ht="60" x14ac:dyDescent="0.25">
      <c r="A16" s="4" t="s">
        <v>34</v>
      </c>
      <c r="B16" s="4" t="s">
        <v>35</v>
      </c>
      <c r="C16" s="4" t="s">
        <v>36</v>
      </c>
      <c r="D16" s="4" t="s">
        <v>36</v>
      </c>
      <c r="E16" s="4" t="s">
        <v>37</v>
      </c>
      <c r="F16" s="4" t="s">
        <v>38</v>
      </c>
      <c r="G16" s="4" t="s">
        <v>52</v>
      </c>
      <c r="H16" s="5" t="s">
        <v>53</v>
      </c>
      <c r="I16" s="6" t="s">
        <v>54</v>
      </c>
      <c r="J16" s="6" t="s">
        <v>55</v>
      </c>
      <c r="K16" s="6">
        <v>1046</v>
      </c>
      <c r="L16" s="6" t="s">
        <v>56</v>
      </c>
      <c r="M16" s="7">
        <v>20000</v>
      </c>
      <c r="N16" s="8">
        <f>K16*M16</f>
        <v>20920000</v>
      </c>
      <c r="O16" s="7">
        <v>0</v>
      </c>
      <c r="P16" s="8">
        <f>N16</f>
        <v>20920000</v>
      </c>
      <c r="Q16" s="8">
        <f>M16</f>
        <v>20000</v>
      </c>
      <c r="R16" s="6" t="s">
        <v>43</v>
      </c>
      <c r="S16" s="6" t="s">
        <v>44</v>
      </c>
      <c r="T16" s="6" t="s">
        <v>45</v>
      </c>
      <c r="U16" s="6" t="s">
        <v>46</v>
      </c>
      <c r="V16" s="6" t="s">
        <v>47</v>
      </c>
      <c r="W16" s="5" t="s">
        <v>48</v>
      </c>
      <c r="X16" s="6" t="s">
        <v>49</v>
      </c>
      <c r="Y16" s="6" t="s">
        <v>50</v>
      </c>
      <c r="Z16" s="5" t="s">
        <v>51</v>
      </c>
    </row>
    <row r="17" spans="1:26" s="9" customFormat="1" ht="60" x14ac:dyDescent="0.25">
      <c r="A17" s="4" t="s">
        <v>34</v>
      </c>
      <c r="B17" s="4" t="s">
        <v>35</v>
      </c>
      <c r="C17" s="4" t="s">
        <v>36</v>
      </c>
      <c r="D17" s="4" t="s">
        <v>36</v>
      </c>
      <c r="E17" s="4" t="s">
        <v>37</v>
      </c>
      <c r="F17" s="4" t="s">
        <v>38</v>
      </c>
      <c r="G17" s="4" t="s">
        <v>52</v>
      </c>
      <c r="H17" s="5" t="s">
        <v>53</v>
      </c>
      <c r="I17" s="6" t="s">
        <v>57</v>
      </c>
      <c r="J17" s="6" t="s">
        <v>55</v>
      </c>
      <c r="K17" s="6">
        <v>1706</v>
      </c>
      <c r="L17" s="6" t="s">
        <v>56</v>
      </c>
      <c r="M17" s="7">
        <v>20000</v>
      </c>
      <c r="N17" s="7">
        <v>34120000</v>
      </c>
      <c r="O17" s="7">
        <v>0</v>
      </c>
      <c r="P17" s="7">
        <v>34120000</v>
      </c>
      <c r="Q17" s="7">
        <v>20000</v>
      </c>
      <c r="R17" s="6" t="s">
        <v>43</v>
      </c>
      <c r="S17" s="6" t="s">
        <v>44</v>
      </c>
      <c r="T17" s="6" t="s">
        <v>45</v>
      </c>
      <c r="U17" s="6" t="s">
        <v>46</v>
      </c>
      <c r="V17" s="6" t="s">
        <v>47</v>
      </c>
      <c r="W17" s="5" t="s">
        <v>48</v>
      </c>
      <c r="X17" s="6" t="s">
        <v>49</v>
      </c>
      <c r="Y17" s="6" t="s">
        <v>50</v>
      </c>
      <c r="Z17" s="5" t="s">
        <v>51</v>
      </c>
    </row>
    <row r="18" spans="1:26" s="9" customFormat="1" ht="75" x14ac:dyDescent="0.25">
      <c r="A18" s="4" t="s">
        <v>34</v>
      </c>
      <c r="B18" s="4" t="s">
        <v>35</v>
      </c>
      <c r="C18" s="4" t="s">
        <v>36</v>
      </c>
      <c r="D18" s="4" t="s">
        <v>36</v>
      </c>
      <c r="E18" s="4" t="s">
        <v>37</v>
      </c>
      <c r="F18" s="4" t="s">
        <v>38</v>
      </c>
      <c r="G18" s="4" t="s">
        <v>58</v>
      </c>
      <c r="H18" s="5" t="s">
        <v>59</v>
      </c>
      <c r="I18" s="6" t="s">
        <v>60</v>
      </c>
      <c r="J18" s="6" t="s">
        <v>61</v>
      </c>
      <c r="K18" s="6">
        <v>12</v>
      </c>
      <c r="L18" s="6" t="s">
        <v>62</v>
      </c>
      <c r="M18" s="7">
        <v>7579166.666666667</v>
      </c>
      <c r="N18" s="7">
        <v>90950000</v>
      </c>
      <c r="O18" s="7">
        <v>0</v>
      </c>
      <c r="P18" s="7">
        <v>90950000</v>
      </c>
      <c r="Q18" s="7">
        <v>7579166.666666667</v>
      </c>
      <c r="R18" s="6" t="s">
        <v>63</v>
      </c>
      <c r="S18" s="6" t="s">
        <v>64</v>
      </c>
      <c r="T18" s="6" t="s">
        <v>65</v>
      </c>
      <c r="U18" s="6" t="s">
        <v>66</v>
      </c>
      <c r="V18" s="10" t="s">
        <v>67</v>
      </c>
      <c r="W18" s="5" t="s">
        <v>48</v>
      </c>
      <c r="X18" s="6" t="s">
        <v>49</v>
      </c>
      <c r="Y18" s="6" t="s">
        <v>68</v>
      </c>
      <c r="Z18" s="5" t="s">
        <v>51</v>
      </c>
    </row>
    <row r="19" spans="1:26" x14ac:dyDescent="0.25">
      <c r="A19" s="16" t="s">
        <v>69</v>
      </c>
      <c r="B19" s="17"/>
      <c r="C19" s="17"/>
      <c r="D19" s="17"/>
      <c r="E19" s="17"/>
      <c r="F19" s="17"/>
      <c r="G19" s="17"/>
      <c r="H19" s="17"/>
      <c r="I19" s="17"/>
      <c r="J19" s="18"/>
      <c r="K19" s="11"/>
      <c r="L19" s="11"/>
      <c r="M19" s="11"/>
      <c r="N19" s="11"/>
      <c r="O19" s="11"/>
      <c r="P19" s="12">
        <f>SUM(P15:P18)</f>
        <v>152699641.2556054</v>
      </c>
      <c r="Q19" s="11"/>
      <c r="R19" s="11"/>
      <c r="S19" s="11"/>
      <c r="T19" s="11"/>
      <c r="U19" s="11"/>
      <c r="V19" s="11"/>
      <c r="W19" s="13"/>
      <c r="X19" s="13"/>
      <c r="Y19" s="13"/>
      <c r="Z19" s="13"/>
    </row>
  </sheetData>
  <mergeCells count="25">
    <mergeCell ref="I11:I13"/>
    <mergeCell ref="J11:J13"/>
    <mergeCell ref="K11:K13"/>
    <mergeCell ref="L11:L13"/>
    <mergeCell ref="A2:Z2"/>
    <mergeCell ref="A3:Z3"/>
    <mergeCell ref="A4:Z4"/>
    <mergeCell ref="A5:Z5"/>
    <mergeCell ref="A6:Z6"/>
    <mergeCell ref="A14:G14"/>
    <mergeCell ref="A19:J19"/>
    <mergeCell ref="V11:V13"/>
    <mergeCell ref="W11:Y11"/>
    <mergeCell ref="Z11:Z13"/>
    <mergeCell ref="A12:G13"/>
    <mergeCell ref="H12:H13"/>
    <mergeCell ref="R12:S12"/>
    <mergeCell ref="T12:U12"/>
    <mergeCell ref="M11:M13"/>
    <mergeCell ref="N11:N13"/>
    <mergeCell ref="O11:O13"/>
    <mergeCell ref="P11:P13"/>
    <mergeCell ref="Q11:Q13"/>
    <mergeCell ref="R11:U11"/>
    <mergeCell ref="A11:H11"/>
  </mergeCells>
  <pageMargins left="1.43" right="0.7" top="0.75" bottom="0.75" header="0.3" footer="0.3"/>
  <pageSetup paperSize="6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IV.A.1.1.1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2024-08-13T12:07:24Z</dcterms:created>
  <dcterms:modified xsi:type="dcterms:W3CDTF">2024-08-13T12:11:57Z</dcterms:modified>
</cp:coreProperties>
</file>