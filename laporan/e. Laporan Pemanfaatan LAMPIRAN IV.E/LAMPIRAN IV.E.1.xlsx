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13_ncr:1_{08E22249-11DC-4619-84FD-B116BAE34D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V.E.1" sheetId="1" r:id="rId1"/>
  </sheets>
  <calcPr calcId="191029"/>
</workbook>
</file>

<file path=xl/calcChain.xml><?xml version="1.0" encoding="utf-8"?>
<calcChain xmlns="http://schemas.openxmlformats.org/spreadsheetml/2006/main">
  <c r="L24" i="1" l="1"/>
</calcChain>
</file>

<file path=xl/sharedStrings.xml><?xml version="1.0" encoding="utf-8"?>
<sst xmlns="http://schemas.openxmlformats.org/spreadsheetml/2006/main" count="149" uniqueCount="52">
  <si>
    <t>LAPORAN PEMANFAATAN BMD.</t>
  </si>
  <si>
    <t>INTRAKOMTABEL</t>
  </si>
  <si>
    <t>BENTUK PEMANFAATAN</t>
  </si>
  <si>
    <t>KUASA PENGGUNA BARANG, PENGGUNA BARANG ATAU PENGELOLA BARANG</t>
  </si>
  <si>
    <t>JUNI (SEMESTER PERTAMA)</t>
  </si>
  <si>
    <t>TAHUN 2024</t>
  </si>
  <si>
    <t>Propinsi Papua Selatan</t>
  </si>
  <si>
    <t>Kabupaten Asmat</t>
  </si>
  <si>
    <t>Kuasa Pengguna Barang : REDI AGUS JAFDAS</t>
  </si>
  <si>
    <t>Pengguna Barang : Dr. HALASSON F. SINURAT, S.STP, M.Si</t>
  </si>
  <si>
    <t>No</t>
  </si>
  <si>
    <t>NIBAR</t>
  </si>
  <si>
    <t>Penggolongan sesuai kodefikasi barang</t>
  </si>
  <si>
    <t>Spesifikasi Nama Barang</t>
  </si>
  <si>
    <t>Nilai Perolehan Barang</t>
  </si>
  <si>
    <t>Mitra Pemanfaatan</t>
  </si>
  <si>
    <t>Jumlah</t>
  </si>
  <si>
    <t>Satuan</t>
  </si>
  <si>
    <t>Lokasi</t>
  </si>
  <si>
    <t>Jangka Waktu</t>
  </si>
  <si>
    <t>Peruntukan</t>
  </si>
  <si>
    <t>Dasar Pengajuan</t>
  </si>
  <si>
    <t>Dokumen Pendukung Lainnya</t>
  </si>
  <si>
    <t>Keterangan</t>
  </si>
  <si>
    <t>Kode Barang</t>
  </si>
  <si>
    <t>Nama Barang</t>
  </si>
  <si>
    <t>Surat Persetujuan</t>
  </si>
  <si>
    <t>Surat Perjanjian</t>
  </si>
  <si>
    <t>Waktu Pemanfaatan</t>
  </si>
  <si>
    <t>Mulai</t>
  </si>
  <si>
    <t>Berakhir</t>
  </si>
  <si>
    <t>Nomor</t>
  </si>
  <si>
    <t>Tanggal</t>
  </si>
  <si>
    <t>Nama</t>
  </si>
  <si>
    <t>0001-0001</t>
  </si>
  <si>
    <t>TOTAL</t>
  </si>
  <si>
    <t>02</t>
  </si>
  <si>
    <t>06</t>
  </si>
  <si>
    <t>03</t>
  </si>
  <si>
    <t>04</t>
  </si>
  <si>
    <t>00</t>
  </si>
  <si>
    <t>08</t>
  </si>
  <si>
    <t>01</t>
  </si>
  <si>
    <t>Printer</t>
  </si>
  <si>
    <t>KOMPUTER</t>
  </si>
  <si>
    <t>Printer Epson</t>
  </si>
  <si>
    <t>AZUS</t>
  </si>
  <si>
    <t>UNIT</t>
  </si>
  <si>
    <t>KANTOR BPKAD</t>
  </si>
  <si>
    <t>4</t>
  </si>
  <si>
    <t>HAK PAKAI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</si>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</sst>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quotePrefix="1" applyBorder="1"/>
    <xf numFmtId="164" fontId="0" fillId="0" borderId="1" xfId="1" applyFont="1" applyBorder="1" applyAlignment="1">
      <alignment horizontal="right" wrapText="1"/>
    </xf>
    <xf numFmtId="14" fontId="0" fillId="0" borderId="1" xfId="0" applyNumberFormat="1" applyBorder="1" applyAlignment="1">
      <alignment vertical="center" wrapText="1"/>
    </xf>
    <xf numFmtId="14" fontId="0" fillId="0" borderId="1" xfId="0" quotePrefix="1" applyNumberFormat="1" applyBorder="1" applyAlignment="1">
      <alignment horizontal="center" vertical="center" wrapText="1"/>
    </xf>
    <xf numFmtId="164" fontId="1" fillId="2" borderId="1" xfId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466725</xdr:colOff>
      <xdr:row>25</xdr:row>
      <xdr:rowOff>0</xdr:rowOff>
    </xdr:from>
    <xdr:to>
      <xdr:col>27</xdr:col>
      <xdr:colOff>541020</xdr:colOff>
      <xdr:row>35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5D93BF-2973-449B-B1A4-4A37F8391B7E}"/>
            </a:ext>
          </a:extLst>
        </xdr:cNvPr>
        <xdr:cNvSpPr txBox="1"/>
      </xdr:nvSpPr>
      <xdr:spPr>
        <a:xfrm>
          <a:off x="11811000" y="5657850"/>
          <a:ext cx="359854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B24"/>
  <sheetViews>
    <sheetView tabSelected="1" view="pageBreakPreview" zoomScale="60" zoomScaleNormal="100" workbookViewId="0">
      <selection activeCell="B6" sqref="B6"/>
    </sheetView>
  </sheetViews>
  <sheetFormatPr defaultRowHeight="15" x14ac:dyDescent="0.25"/>
  <cols>
    <col min="1" max="1" width="6.140625" customWidth="1"/>
    <col min="2" max="2" width="10.7109375" customWidth="1"/>
    <col min="3" max="9" width="5.140625" customWidth="1"/>
    <col min="10" max="10" width="14.5703125" customWidth="1"/>
    <col min="11" max="11" width="14.85546875" style="2" customWidth="1"/>
    <col min="12" max="12" width="14.28515625" style="2" bestFit="1" customWidth="1"/>
    <col min="13" max="13" width="13" style="2" customWidth="1"/>
    <col min="14" max="15" width="9.140625" style="2"/>
    <col min="16" max="16" width="22" style="2" customWidth="1"/>
    <col min="17" max="17" width="14.85546875" style="2" customWidth="1"/>
    <col min="18" max="19" width="12.28515625" style="2" customWidth="1"/>
    <col min="20" max="20" width="12.42578125" style="2" customWidth="1"/>
    <col min="21" max="27" width="10.5703125" style="2" customWidth="1"/>
    <col min="28" max="28" width="13.5703125" customWidth="1"/>
  </cols>
  <sheetData>
    <row r="2" spans="1:28" x14ac:dyDescent="0.25">
      <c r="C2" s="17" t="s"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C3" s="17" t="s">
        <v>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x14ac:dyDescent="0.25">
      <c r="C4" s="17" t="s">
        <v>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x14ac:dyDescent="0.25">
      <c r="C5" s="17" t="s">
        <v>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x14ac:dyDescent="0.25">
      <c r="C6" s="17" t="s">
        <v>4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x14ac:dyDescent="0.25">
      <c r="C7" s="17" t="s">
        <v>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x14ac:dyDescent="0.2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10" spans="1:28" x14ac:dyDescent="0.25">
      <c r="C10" s="1" t="s">
        <v>6</v>
      </c>
      <c r="W10"/>
      <c r="X10"/>
      <c r="Y10"/>
      <c r="Z10"/>
      <c r="AA10"/>
    </row>
    <row r="11" spans="1:28" x14ac:dyDescent="0.25">
      <c r="C11" s="1" t="s">
        <v>7</v>
      </c>
      <c r="W11"/>
      <c r="X11"/>
      <c r="Y11"/>
      <c r="Z11"/>
      <c r="AA11"/>
    </row>
    <row r="12" spans="1:28" x14ac:dyDescent="0.25">
      <c r="C12" s="1" t="s">
        <v>8</v>
      </c>
      <c r="W12"/>
      <c r="X12"/>
      <c r="Y12"/>
      <c r="Z12"/>
      <c r="AA12"/>
    </row>
    <row r="13" spans="1:28" x14ac:dyDescent="0.25">
      <c r="C13" s="1" t="s">
        <v>9</v>
      </c>
      <c r="W13"/>
      <c r="X13"/>
      <c r="Y13"/>
      <c r="Z13"/>
      <c r="AA13"/>
    </row>
    <row r="15" spans="1:28" ht="72" customHeight="1" x14ac:dyDescent="0.25">
      <c r="A15" s="18" t="s">
        <v>10</v>
      </c>
      <c r="B15" s="18" t="s">
        <v>11</v>
      </c>
      <c r="C15" s="18" t="s">
        <v>12</v>
      </c>
      <c r="D15" s="18"/>
      <c r="E15" s="18"/>
      <c r="F15" s="18"/>
      <c r="G15" s="18"/>
      <c r="H15" s="18"/>
      <c r="I15" s="18"/>
      <c r="J15" s="18"/>
      <c r="K15" s="19" t="s">
        <v>13</v>
      </c>
      <c r="L15" s="19" t="s">
        <v>14</v>
      </c>
      <c r="M15" s="19" t="s">
        <v>15</v>
      </c>
      <c r="N15" s="19" t="s">
        <v>16</v>
      </c>
      <c r="O15" s="19" t="s">
        <v>17</v>
      </c>
      <c r="P15" s="19" t="s">
        <v>18</v>
      </c>
      <c r="Q15" s="19" t="s">
        <v>19</v>
      </c>
      <c r="R15" s="19"/>
      <c r="S15" s="19"/>
      <c r="T15" s="19" t="s">
        <v>20</v>
      </c>
      <c r="U15" s="19" t="s">
        <v>21</v>
      </c>
      <c r="V15" s="19"/>
      <c r="W15" s="19"/>
      <c r="X15" s="19"/>
      <c r="Y15" s="19" t="s">
        <v>22</v>
      </c>
      <c r="Z15" s="19"/>
      <c r="AA15" s="19"/>
      <c r="AB15" s="19" t="s">
        <v>23</v>
      </c>
    </row>
    <row r="16" spans="1:28" ht="28.9" customHeight="1" x14ac:dyDescent="0.25">
      <c r="A16" s="18"/>
      <c r="B16" s="18"/>
      <c r="C16" s="18" t="s">
        <v>24</v>
      </c>
      <c r="D16" s="18"/>
      <c r="E16" s="18"/>
      <c r="F16" s="18"/>
      <c r="G16" s="18"/>
      <c r="H16" s="18"/>
      <c r="I16" s="18"/>
      <c r="J16" s="19" t="s">
        <v>25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 t="s">
        <v>26</v>
      </c>
      <c r="V16" s="19"/>
      <c r="W16" s="19" t="s">
        <v>27</v>
      </c>
      <c r="X16" s="19"/>
      <c r="Y16" s="19"/>
      <c r="Z16" s="19"/>
      <c r="AA16" s="19"/>
      <c r="AB16" s="19"/>
    </row>
    <row r="17" spans="1:28" ht="30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19"/>
      <c r="N17" s="19"/>
      <c r="O17" s="19"/>
      <c r="P17" s="19"/>
      <c r="Q17" s="7" t="s">
        <v>28</v>
      </c>
      <c r="R17" s="7" t="s">
        <v>29</v>
      </c>
      <c r="S17" s="7" t="s">
        <v>30</v>
      </c>
      <c r="T17" s="19"/>
      <c r="U17" s="7" t="s">
        <v>31</v>
      </c>
      <c r="V17" s="7" t="s">
        <v>32</v>
      </c>
      <c r="W17" s="7" t="s">
        <v>31</v>
      </c>
      <c r="X17" s="7" t="s">
        <v>32</v>
      </c>
      <c r="Y17" s="7" t="s">
        <v>33</v>
      </c>
      <c r="Z17" s="7" t="s">
        <v>31</v>
      </c>
      <c r="AA17" s="7" t="s">
        <v>32</v>
      </c>
      <c r="AB17" s="19"/>
    </row>
    <row r="18" spans="1:28" x14ac:dyDescent="0.25">
      <c r="A18" s="3">
        <v>1</v>
      </c>
      <c r="B18" s="3">
        <v>2</v>
      </c>
      <c r="C18" s="20">
        <v>3</v>
      </c>
      <c r="D18" s="20"/>
      <c r="E18" s="20"/>
      <c r="F18" s="20"/>
      <c r="G18" s="20"/>
      <c r="H18" s="20"/>
      <c r="I18" s="20"/>
      <c r="J18" s="3">
        <v>4</v>
      </c>
      <c r="K18" s="4">
        <v>5</v>
      </c>
      <c r="L18" s="3">
        <v>6</v>
      </c>
      <c r="M18" s="4">
        <v>7</v>
      </c>
      <c r="N18" s="3">
        <v>8</v>
      </c>
      <c r="O18" s="4">
        <v>9</v>
      </c>
      <c r="P18" s="3">
        <v>10</v>
      </c>
      <c r="Q18" s="4">
        <v>11</v>
      </c>
      <c r="R18" s="3">
        <v>12</v>
      </c>
      <c r="S18" s="4">
        <v>13</v>
      </c>
      <c r="T18" s="3">
        <v>14</v>
      </c>
      <c r="U18" s="4">
        <v>15</v>
      </c>
      <c r="V18" s="3">
        <v>16</v>
      </c>
      <c r="W18" s="4">
        <v>17</v>
      </c>
      <c r="X18" s="3">
        <v>18</v>
      </c>
      <c r="Y18" s="4">
        <v>19</v>
      </c>
      <c r="Z18" s="3">
        <v>20</v>
      </c>
      <c r="AA18" s="4">
        <v>21</v>
      </c>
      <c r="AB18" s="3">
        <v>22</v>
      </c>
    </row>
    <row r="19" spans="1:28" x14ac:dyDescent="0.25">
      <c r="A19" s="6">
        <v>1</v>
      </c>
      <c r="B19" s="11" t="s">
        <v>34</v>
      </c>
      <c r="C19" s="12" t="s">
        <v>36</v>
      </c>
      <c r="D19" s="12" t="s">
        <v>37</v>
      </c>
      <c r="E19" s="12" t="s">
        <v>38</v>
      </c>
      <c r="F19" s="12" t="s">
        <v>39</v>
      </c>
      <c r="G19" s="12" t="s">
        <v>40</v>
      </c>
      <c r="H19" s="12" t="s">
        <v>41</v>
      </c>
      <c r="I19" s="12" t="s">
        <v>42</v>
      </c>
      <c r="J19" s="11" t="s">
        <v>43</v>
      </c>
      <c r="K19" s="5" t="s">
        <v>45</v>
      </c>
      <c r="L19" s="13">
        <v>4655000</v>
      </c>
      <c r="M19" s="10">
        <v>4</v>
      </c>
      <c r="N19" s="10">
        <v>1</v>
      </c>
      <c r="O19" s="5" t="s">
        <v>47</v>
      </c>
      <c r="P19" s="5" t="s">
        <v>48</v>
      </c>
      <c r="Q19" s="15" t="s">
        <v>49</v>
      </c>
      <c r="R19" s="14">
        <v>45629</v>
      </c>
      <c r="S19" s="14">
        <v>47090</v>
      </c>
      <c r="T19" s="5" t="s">
        <v>50</v>
      </c>
      <c r="U19" s="5" t="s">
        <v>51</v>
      </c>
      <c r="V19" s="5" t="s">
        <v>51</v>
      </c>
      <c r="W19" s="5" t="s">
        <v>51</v>
      </c>
      <c r="X19" s="5" t="s">
        <v>51</v>
      </c>
      <c r="Y19" s="5" t="s">
        <v>51</v>
      </c>
      <c r="Z19" s="5" t="s">
        <v>51</v>
      </c>
      <c r="AA19" s="5" t="s">
        <v>51</v>
      </c>
      <c r="AB19" s="5" t="s">
        <v>51</v>
      </c>
    </row>
    <row r="20" spans="1:28" x14ac:dyDescent="0.25">
      <c r="A20" s="6">
        <v>2</v>
      </c>
      <c r="B20" s="11" t="s">
        <v>34</v>
      </c>
      <c r="C20" s="12" t="s">
        <v>36</v>
      </c>
      <c r="D20" s="12" t="s">
        <v>37</v>
      </c>
      <c r="E20" s="12" t="s">
        <v>38</v>
      </c>
      <c r="F20" s="12" t="s">
        <v>39</v>
      </c>
      <c r="G20" s="12" t="s">
        <v>40</v>
      </c>
      <c r="H20" s="12" t="s">
        <v>41</v>
      </c>
      <c r="I20" s="12" t="s">
        <v>42</v>
      </c>
      <c r="J20" s="11" t="s">
        <v>43</v>
      </c>
      <c r="K20" s="5" t="s">
        <v>45</v>
      </c>
      <c r="L20" s="13">
        <v>4655000</v>
      </c>
      <c r="M20" s="10">
        <v>4</v>
      </c>
      <c r="N20" s="10">
        <v>1</v>
      </c>
      <c r="O20" s="5" t="s">
        <v>47</v>
      </c>
      <c r="P20" s="5" t="s">
        <v>48</v>
      </c>
      <c r="Q20" s="15" t="s">
        <v>49</v>
      </c>
      <c r="R20" s="14">
        <v>45629</v>
      </c>
      <c r="S20" s="14">
        <v>45629</v>
      </c>
      <c r="T20" s="5" t="s">
        <v>50</v>
      </c>
      <c r="U20" s="5" t="s">
        <v>51</v>
      </c>
      <c r="V20" s="5" t="s">
        <v>51</v>
      </c>
      <c r="W20" s="5" t="s">
        <v>51</v>
      </c>
      <c r="X20" s="5" t="s">
        <v>51</v>
      </c>
      <c r="Y20" s="5" t="s">
        <v>51</v>
      </c>
      <c r="Z20" s="5" t="s">
        <v>51</v>
      </c>
      <c r="AA20" s="5" t="s">
        <v>51</v>
      </c>
      <c r="AB20" s="5" t="s">
        <v>51</v>
      </c>
    </row>
    <row r="21" spans="1:28" x14ac:dyDescent="0.25">
      <c r="A21" s="6">
        <v>3</v>
      </c>
      <c r="B21" s="11" t="s">
        <v>34</v>
      </c>
      <c r="C21" s="12" t="s">
        <v>36</v>
      </c>
      <c r="D21" s="12" t="s">
        <v>37</v>
      </c>
      <c r="E21" s="12" t="s">
        <v>38</v>
      </c>
      <c r="F21" s="12" t="s">
        <v>39</v>
      </c>
      <c r="G21" s="12" t="s">
        <v>40</v>
      </c>
      <c r="H21" s="12" t="s">
        <v>41</v>
      </c>
      <c r="I21" s="12" t="s">
        <v>42</v>
      </c>
      <c r="J21" s="11" t="s">
        <v>43</v>
      </c>
      <c r="K21" s="5" t="s">
        <v>45</v>
      </c>
      <c r="L21" s="13">
        <v>4655000</v>
      </c>
      <c r="M21" s="10">
        <v>4</v>
      </c>
      <c r="N21" s="10">
        <v>1</v>
      </c>
      <c r="O21" s="5" t="s">
        <v>47</v>
      </c>
      <c r="P21" s="5" t="s">
        <v>48</v>
      </c>
      <c r="Q21" s="15" t="s">
        <v>49</v>
      </c>
      <c r="R21" s="14">
        <v>45629</v>
      </c>
      <c r="S21" s="14">
        <v>45629</v>
      </c>
      <c r="T21" s="5" t="s">
        <v>50</v>
      </c>
      <c r="U21" s="5" t="s">
        <v>51</v>
      </c>
      <c r="V21" s="5" t="s">
        <v>51</v>
      </c>
      <c r="W21" s="5" t="s">
        <v>51</v>
      </c>
      <c r="X21" s="5" t="s">
        <v>51</v>
      </c>
      <c r="Y21" s="5" t="s">
        <v>51</v>
      </c>
      <c r="Z21" s="5" t="s">
        <v>51</v>
      </c>
      <c r="AA21" s="5" t="s">
        <v>51</v>
      </c>
      <c r="AB21" s="5" t="s">
        <v>51</v>
      </c>
    </row>
    <row r="22" spans="1:28" x14ac:dyDescent="0.25">
      <c r="A22" s="6">
        <v>4</v>
      </c>
      <c r="B22" s="11" t="s">
        <v>34</v>
      </c>
      <c r="C22" s="12" t="s">
        <v>36</v>
      </c>
      <c r="D22" s="12" t="s">
        <v>37</v>
      </c>
      <c r="E22" s="12" t="s">
        <v>38</v>
      </c>
      <c r="F22" s="12" t="s">
        <v>39</v>
      </c>
      <c r="G22" s="12" t="s">
        <v>40</v>
      </c>
      <c r="H22" s="12" t="s">
        <v>41</v>
      </c>
      <c r="I22" s="12" t="s">
        <v>42</v>
      </c>
      <c r="J22" s="11" t="s">
        <v>43</v>
      </c>
      <c r="K22" s="5" t="s">
        <v>45</v>
      </c>
      <c r="L22" s="13">
        <v>13500000</v>
      </c>
      <c r="M22" s="10">
        <v>4</v>
      </c>
      <c r="N22" s="10">
        <v>1</v>
      </c>
      <c r="O22" s="5" t="s">
        <v>47</v>
      </c>
      <c r="P22" s="5" t="s">
        <v>48</v>
      </c>
      <c r="Q22" s="15" t="s">
        <v>49</v>
      </c>
      <c r="R22" s="14">
        <v>45629</v>
      </c>
      <c r="S22" s="14">
        <v>45629</v>
      </c>
      <c r="T22" s="5" t="s">
        <v>50</v>
      </c>
      <c r="U22" s="5" t="s">
        <v>51</v>
      </c>
      <c r="V22" s="5" t="s">
        <v>51</v>
      </c>
      <c r="W22" s="5" t="s">
        <v>51</v>
      </c>
      <c r="X22" s="5" t="s">
        <v>51</v>
      </c>
      <c r="Y22" s="5" t="s">
        <v>51</v>
      </c>
      <c r="Z22" s="5" t="s">
        <v>51</v>
      </c>
      <c r="AA22" s="5" t="s">
        <v>51</v>
      </c>
      <c r="AB22" s="5" t="s">
        <v>51</v>
      </c>
    </row>
    <row r="23" spans="1:28" x14ac:dyDescent="0.25">
      <c r="A23" s="6">
        <v>5</v>
      </c>
      <c r="B23" s="11" t="s">
        <v>34</v>
      </c>
      <c r="C23" s="12" t="s">
        <v>36</v>
      </c>
      <c r="D23" s="12" t="s">
        <v>37</v>
      </c>
      <c r="E23" s="12" t="s">
        <v>38</v>
      </c>
      <c r="F23" s="12" t="s">
        <v>39</v>
      </c>
      <c r="G23" s="12" t="s">
        <v>40</v>
      </c>
      <c r="H23" s="12" t="s">
        <v>41</v>
      </c>
      <c r="I23" s="12" t="s">
        <v>36</v>
      </c>
      <c r="J23" s="11" t="s">
        <v>44</v>
      </c>
      <c r="K23" s="5" t="s">
        <v>46</v>
      </c>
      <c r="L23" s="13">
        <v>16413350</v>
      </c>
      <c r="M23" s="10">
        <v>4</v>
      </c>
      <c r="N23" s="10">
        <v>1</v>
      </c>
      <c r="O23" s="5" t="s">
        <v>47</v>
      </c>
      <c r="P23" s="5" t="s">
        <v>48</v>
      </c>
      <c r="Q23" s="15" t="s">
        <v>49</v>
      </c>
      <c r="R23" s="14">
        <v>45629</v>
      </c>
      <c r="S23" s="14">
        <v>45629</v>
      </c>
      <c r="T23" s="5" t="s">
        <v>50</v>
      </c>
      <c r="U23" s="5" t="s">
        <v>51</v>
      </c>
      <c r="V23" s="5" t="s">
        <v>51</v>
      </c>
      <c r="W23" s="5" t="s">
        <v>51</v>
      </c>
      <c r="X23" s="5" t="s">
        <v>51</v>
      </c>
      <c r="Y23" s="5" t="s">
        <v>51</v>
      </c>
      <c r="Z23" s="5" t="s">
        <v>51</v>
      </c>
      <c r="AA23" s="5" t="s">
        <v>51</v>
      </c>
      <c r="AB23" s="5" t="s">
        <v>51</v>
      </c>
    </row>
    <row r="24" spans="1:28" s="1" customFormat="1" x14ac:dyDescent="0.25">
      <c r="A24" s="18" t="s">
        <v>35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6">
        <f>SUBTOTAL(9,L19:L23)</f>
        <v>43878350</v>
      </c>
      <c r="M24" s="2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</row>
  </sheetData>
  <mergeCells count="27">
    <mergeCell ref="C18:I18"/>
    <mergeCell ref="Q15:S16"/>
    <mergeCell ref="T15:T17"/>
    <mergeCell ref="U15:X15"/>
    <mergeCell ref="Y15:AA16"/>
    <mergeCell ref="P15:P17"/>
    <mergeCell ref="AB15:AB17"/>
    <mergeCell ref="C16:I17"/>
    <mergeCell ref="J16:J17"/>
    <mergeCell ref="U16:V16"/>
    <mergeCell ref="W16:X16"/>
    <mergeCell ref="C7:AB7"/>
    <mergeCell ref="A24:K24"/>
    <mergeCell ref="C2:AB2"/>
    <mergeCell ref="C3:AB3"/>
    <mergeCell ref="C4:AB4"/>
    <mergeCell ref="C5:AB5"/>
    <mergeCell ref="C6:AB6"/>
    <mergeCell ref="C8:AB8"/>
    <mergeCell ref="A15:A17"/>
    <mergeCell ref="B15:B17"/>
    <mergeCell ref="C15:J15"/>
    <mergeCell ref="K15:K17"/>
    <mergeCell ref="L15:L17"/>
    <mergeCell ref="M15:M17"/>
    <mergeCell ref="N15:N17"/>
    <mergeCell ref="O15:O17"/>
  </mergeCells>
  <pageMargins left="0.7" right="0.7" top="0.75" bottom="0.75" header="0.3" footer="0.3"/>
  <pageSetup scale="42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IV.E.1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Riski Riski</cp:lastModifiedBy>
  <cp:lastPrinted>2024-08-19T07:55:01Z</cp:lastPrinted>
  <dcterms:created xsi:type="dcterms:W3CDTF">2024-08-13T12:32:40Z</dcterms:created>
  <dcterms:modified xsi:type="dcterms:W3CDTF">2024-08-19T07:55:06Z</dcterms:modified>
</cp:coreProperties>
</file>