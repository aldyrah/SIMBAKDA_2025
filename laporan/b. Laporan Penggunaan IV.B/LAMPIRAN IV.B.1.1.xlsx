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adriski\Videos\New folder\"/>
    </mc:Choice>
  </mc:AlternateContent>
  <xr:revisionPtr revIDLastSave="0" documentId="13_ncr:1_{B8D8D614-C324-4C99-9A66-4172420CF0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V.B.1.1" sheetId="1" r:id="rId1"/>
  </sheets>
  <calcPr calcId="191029"/>
</workbook>
</file>

<file path=xl/calcChain.xml><?xml version="1.0" encoding="utf-8"?>
<calcChain xmlns="http://schemas.openxmlformats.org/spreadsheetml/2006/main">
  <c r="P20" i="1" l="1"/>
  <c r="O20" i="1"/>
  <c r="N20" i="1"/>
  <c r="Q19" i="1"/>
  <c r="Q18" i="1"/>
  <c r="Q17" i="1"/>
  <c r="Q16" i="1"/>
  <c r="Q15" i="1"/>
  <c r="Q20" i="1" s="1"/>
</calcChain>
</file>

<file path=xl/sharedStrings.xml><?xml version="1.0" encoding="utf-8"?>
<sst xmlns="http://schemas.openxmlformats.org/spreadsheetml/2006/main" count="139" uniqueCount="53">
  <si>
    <t>LAPORAN PENERIMAAN PENGGUNAAN DALAM BENTUK PENGGUNAAN PENGALIHAN ATAU PENETAPAN STATUS PENGGUNAAN BMD</t>
  </si>
  <si>
    <t>INTRAKOMTABEL</t>
  </si>
  <si>
    <t>PENGGUNA ANGGARAN ATAU PENGELOLA BARANG</t>
  </si>
  <si>
    <t>TAHUN 2024</t>
  </si>
  <si>
    <t>Propinsi Papua Selatan</t>
  </si>
  <si>
    <t>Kabupaten Asmat</t>
  </si>
  <si>
    <t>NIBAR/NUSP</t>
  </si>
  <si>
    <t>Penggolongan sesuai kodefikasi barang</t>
  </si>
  <si>
    <t>Spesifikasi Nama Barang</t>
  </si>
  <si>
    <t>Spesifikasi Lainnya</t>
  </si>
  <si>
    <t>Jumlah Barang</t>
  </si>
  <si>
    <t>Satuan Barang</t>
  </si>
  <si>
    <t>Harga Barang</t>
  </si>
  <si>
    <t>Jumlah Total</t>
  </si>
  <si>
    <t>Nilai Akumulasi Penyusutan atau Amortisasi</t>
  </si>
  <si>
    <t>Nilai Buku</t>
  </si>
  <si>
    <t>Tanggal,Bulan,Tahun Perolehan</t>
  </si>
  <si>
    <t>Cara Perolehan</t>
  </si>
  <si>
    <t>Lokasi</t>
  </si>
  <si>
    <t>Asal Barang</t>
  </si>
  <si>
    <t>BAST</t>
  </si>
  <si>
    <t>Surat Keputusan Penetapan</t>
  </si>
  <si>
    <t>Keterangan</t>
  </si>
  <si>
    <t>Kode Barang</t>
  </si>
  <si>
    <t>Nama Barang</t>
  </si>
  <si>
    <t>Pihak Yang Menyerahkan</t>
  </si>
  <si>
    <t>Nomor</t>
  </si>
  <si>
    <t>Tanggal</t>
  </si>
  <si>
    <t>TOTAL</t>
  </si>
  <si>
    <t>JUNI ( SEMESTER PERTAMA )</t>
  </si>
  <si>
    <t>02</t>
  </si>
  <si>
    <t>06</t>
  </si>
  <si>
    <t>03</t>
  </si>
  <si>
    <t>04</t>
  </si>
  <si>
    <t>00</t>
  </si>
  <si>
    <t>08</t>
  </si>
  <si>
    <t>01</t>
  </si>
  <si>
    <t>Printer</t>
  </si>
  <si>
    <t>KOMPUTER</t>
  </si>
  <si>
    <t>Printer Epson</t>
  </si>
  <si>
    <t>Epson L - 3210</t>
  </si>
  <si>
    <t>LQ.2190</t>
  </si>
  <si>
    <t>AZUS</t>
  </si>
  <si>
    <t>VT 24TE</t>
  </si>
  <si>
    <t>unit</t>
  </si>
  <si>
    <t>DAU</t>
  </si>
  <si>
    <t>KANTOR BPKAD</t>
  </si>
  <si>
    <t>HANDARU PUTRA PAPUA</t>
  </si>
  <si>
    <t>602/1268.a/SPK/BPKAD/VIII/2024</t>
  </si>
  <si>
    <t>CV. FEASUSUMER JAYA</t>
  </si>
  <si>
    <t>900/291/SP/BPKAD/III/2024</t>
  </si>
  <si>
    <t>-</t>
  </si>
  <si>
    <t>0001-0001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</si>
</sst>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1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Font="1" applyBorder="1" applyAlignment="1">
      <alignment horizontal="right" vertical="center" wrapText="1"/>
    </xf>
    <xf numFmtId="164" fontId="1" fillId="2" borderId="1" xfId="1" applyFont="1" applyFill="1" applyBorder="1" applyAlignment="1">
      <alignment wrapText="1"/>
    </xf>
    <xf numFmtId="14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790575</xdr:colOff>
      <xdr:row>21</xdr:row>
      <xdr:rowOff>0</xdr:rowOff>
    </xdr:from>
    <xdr:to>
      <xdr:col>27</xdr:col>
      <xdr:colOff>541020</xdr:colOff>
      <xdr:row>31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4116050" y="4514850"/>
          <a:ext cx="268414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95250</xdr:colOff>
      <xdr:row>1</xdr:row>
      <xdr:rowOff>38100</xdr:rowOff>
    </xdr:from>
    <xdr:to>
      <xdr:col>4</xdr:col>
      <xdr:colOff>9525</xdr:colOff>
      <xdr:row>5</xdr:row>
      <xdr:rowOff>0</xdr:rowOff>
    </xdr:to>
    <xdr:pic>
      <xdr:nvPicPr>
        <xdr:cNvPr id="3" name="Picture 2" descr="asmatyo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228600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B20"/>
  <sheetViews>
    <sheetView tabSelected="1" topLeftCell="A9" workbookViewId="0">
      <selection activeCell="A16" sqref="A16"/>
    </sheetView>
  </sheetViews>
  <sheetFormatPr defaultRowHeight="15" x14ac:dyDescent="0.25"/>
  <cols>
    <col min="1" max="1" width="13.28515625" customWidth="1"/>
    <col min="2" max="8" width="4" customWidth="1"/>
    <col min="9" max="9" width="12.5703125" bestFit="1" customWidth="1"/>
    <col min="10" max="11" width="14.42578125" style="2" customWidth="1"/>
    <col min="12" max="13" width="9.140625" style="2"/>
    <col min="14" max="17" width="17" style="2" customWidth="1"/>
    <col min="18" max="18" width="13.85546875" style="2" customWidth="1"/>
    <col min="19" max="19" width="10.85546875" style="2" customWidth="1"/>
    <col min="20" max="20" width="19" style="2" customWidth="1"/>
    <col min="21" max="21" width="15" style="2" customWidth="1"/>
    <col min="22" max="22" width="21.28515625" style="2" customWidth="1"/>
    <col min="23" max="23" width="18.42578125" style="2" customWidth="1"/>
    <col min="24" max="24" width="23" style="2" customWidth="1"/>
    <col min="25" max="25" width="17.85546875" style="2" customWidth="1"/>
    <col min="26" max="27" width="10.85546875" style="2" customWidth="1"/>
    <col min="28" max="28" width="10.85546875" customWidth="1"/>
  </cols>
  <sheetData>
    <row r="2" spans="1:28" x14ac:dyDescent="0.25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x14ac:dyDescent="0.25">
      <c r="B3" s="26" t="s">
        <v>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x14ac:dyDescent="0.25">
      <c r="B4" s="26" t="s">
        <v>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x14ac:dyDescent="0.25">
      <c r="B5" s="26" t="s">
        <v>29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x14ac:dyDescent="0.25">
      <c r="B6" s="26" t="s">
        <v>3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8" spans="1:28" x14ac:dyDescent="0.25">
      <c r="A8" s="1" t="s">
        <v>4</v>
      </c>
    </row>
    <row r="9" spans="1:28" x14ac:dyDescent="0.25">
      <c r="A9" s="1" t="s">
        <v>5</v>
      </c>
    </row>
    <row r="11" spans="1:28" ht="72" customHeight="1" x14ac:dyDescent="0.25">
      <c r="A11" s="25" t="s">
        <v>6</v>
      </c>
      <c r="B11" s="18" t="s">
        <v>7</v>
      </c>
      <c r="C11" s="18"/>
      <c r="D11" s="18"/>
      <c r="E11" s="18"/>
      <c r="F11" s="18"/>
      <c r="G11" s="18"/>
      <c r="H11" s="18"/>
      <c r="I11" s="18"/>
      <c r="J11" s="25" t="s">
        <v>8</v>
      </c>
      <c r="K11" s="19" t="s">
        <v>9</v>
      </c>
      <c r="L11" s="25" t="s">
        <v>10</v>
      </c>
      <c r="M11" s="25" t="s">
        <v>11</v>
      </c>
      <c r="N11" s="25" t="s">
        <v>12</v>
      </c>
      <c r="O11" s="19" t="s">
        <v>13</v>
      </c>
      <c r="P11" s="19" t="s">
        <v>14</v>
      </c>
      <c r="Q11" s="19" t="s">
        <v>15</v>
      </c>
      <c r="R11" s="19" t="s">
        <v>16</v>
      </c>
      <c r="S11" s="19" t="s">
        <v>17</v>
      </c>
      <c r="T11" s="19" t="s">
        <v>18</v>
      </c>
      <c r="U11" s="25" t="s">
        <v>19</v>
      </c>
      <c r="V11" s="25"/>
      <c r="W11" s="25"/>
      <c r="X11" s="25" t="s">
        <v>20</v>
      </c>
      <c r="Y11" s="25"/>
      <c r="Z11" s="25" t="s">
        <v>21</v>
      </c>
      <c r="AA11" s="25"/>
      <c r="AB11" s="18" t="s">
        <v>22</v>
      </c>
    </row>
    <row r="12" spans="1:28" ht="28.9" customHeight="1" x14ac:dyDescent="0.25">
      <c r="A12" s="25"/>
      <c r="B12" s="18" t="s">
        <v>23</v>
      </c>
      <c r="C12" s="18"/>
      <c r="D12" s="18"/>
      <c r="E12" s="18"/>
      <c r="F12" s="18"/>
      <c r="G12" s="18"/>
      <c r="H12" s="18"/>
      <c r="I12" s="19" t="s">
        <v>24</v>
      </c>
      <c r="J12" s="25"/>
      <c r="K12" s="24"/>
      <c r="L12" s="25"/>
      <c r="M12" s="25"/>
      <c r="N12" s="25"/>
      <c r="O12" s="24"/>
      <c r="P12" s="24"/>
      <c r="Q12" s="24"/>
      <c r="R12" s="24"/>
      <c r="S12" s="24"/>
      <c r="T12" s="24"/>
      <c r="U12" s="25"/>
      <c r="V12" s="25"/>
      <c r="W12" s="25"/>
      <c r="X12" s="25"/>
      <c r="Y12" s="25"/>
      <c r="Z12" s="25"/>
      <c r="AA12" s="25"/>
      <c r="AB12" s="18"/>
    </row>
    <row r="13" spans="1:28" ht="30" x14ac:dyDescent="0.25">
      <c r="A13" s="25"/>
      <c r="B13" s="18"/>
      <c r="C13" s="18"/>
      <c r="D13" s="18"/>
      <c r="E13" s="18"/>
      <c r="F13" s="18"/>
      <c r="G13" s="18"/>
      <c r="H13" s="18"/>
      <c r="I13" s="20"/>
      <c r="J13" s="25"/>
      <c r="K13" s="20"/>
      <c r="L13" s="25"/>
      <c r="M13" s="25"/>
      <c r="N13" s="25"/>
      <c r="O13" s="20"/>
      <c r="P13" s="20"/>
      <c r="Q13" s="20"/>
      <c r="R13" s="20"/>
      <c r="S13" s="20"/>
      <c r="T13" s="20"/>
      <c r="U13" s="4" t="s">
        <v>25</v>
      </c>
      <c r="V13" s="4" t="s">
        <v>23</v>
      </c>
      <c r="W13" s="4" t="s">
        <v>24</v>
      </c>
      <c r="X13" s="4" t="s">
        <v>26</v>
      </c>
      <c r="Y13" s="4" t="s">
        <v>27</v>
      </c>
      <c r="Z13" s="4" t="s">
        <v>26</v>
      </c>
      <c r="AA13" s="4" t="s">
        <v>27</v>
      </c>
      <c r="AB13" s="18"/>
    </row>
    <row r="14" spans="1:28" x14ac:dyDescent="0.25">
      <c r="A14" s="3">
        <v>1</v>
      </c>
      <c r="B14" s="18">
        <v>2</v>
      </c>
      <c r="C14" s="18"/>
      <c r="D14" s="18"/>
      <c r="E14" s="18"/>
      <c r="F14" s="18"/>
      <c r="G14" s="18"/>
      <c r="H14" s="18"/>
      <c r="I14" s="3">
        <v>3</v>
      </c>
      <c r="J14" s="4">
        <v>4</v>
      </c>
      <c r="K14" s="3">
        <v>5</v>
      </c>
      <c r="L14" s="4">
        <v>6</v>
      </c>
      <c r="M14" s="3">
        <v>7</v>
      </c>
      <c r="N14" s="4">
        <v>8</v>
      </c>
      <c r="O14" s="3">
        <v>9</v>
      </c>
      <c r="P14" s="4">
        <v>10</v>
      </c>
      <c r="Q14" s="3">
        <v>11</v>
      </c>
      <c r="R14" s="4">
        <v>12</v>
      </c>
      <c r="S14" s="3">
        <v>13</v>
      </c>
      <c r="T14" s="4">
        <v>14</v>
      </c>
      <c r="U14" s="3">
        <v>15</v>
      </c>
      <c r="V14" s="4">
        <v>16</v>
      </c>
      <c r="W14" s="3">
        <v>17</v>
      </c>
      <c r="X14" s="4">
        <v>18</v>
      </c>
      <c r="Y14" s="3">
        <v>19</v>
      </c>
      <c r="Z14" s="4">
        <v>20</v>
      </c>
      <c r="AA14" s="3">
        <v>21</v>
      </c>
      <c r="AB14" s="4">
        <v>22</v>
      </c>
    </row>
    <row r="15" spans="1:28" s="16" customFormat="1" ht="30" x14ac:dyDescent="0.25">
      <c r="A15" s="17" t="s">
        <v>52</v>
      </c>
      <c r="B15" s="7" t="s">
        <v>30</v>
      </c>
      <c r="C15" s="7" t="s">
        <v>31</v>
      </c>
      <c r="D15" s="7" t="s">
        <v>32</v>
      </c>
      <c r="E15" s="7" t="s">
        <v>33</v>
      </c>
      <c r="F15" s="7" t="s">
        <v>34</v>
      </c>
      <c r="G15" s="7" t="s">
        <v>35</v>
      </c>
      <c r="H15" s="7" t="s">
        <v>36</v>
      </c>
      <c r="I15" s="8" t="s">
        <v>37</v>
      </c>
      <c r="J15" s="9" t="s">
        <v>39</v>
      </c>
      <c r="K15" s="9" t="s">
        <v>40</v>
      </c>
      <c r="L15" s="9">
        <v>1</v>
      </c>
      <c r="M15" s="11" t="s">
        <v>44</v>
      </c>
      <c r="N15" s="12">
        <v>4655000</v>
      </c>
      <c r="O15" s="12">
        <v>4655000</v>
      </c>
      <c r="P15" s="10">
        <v>1163750</v>
      </c>
      <c r="Q15" s="15">
        <f>O15-P15</f>
        <v>3491250</v>
      </c>
      <c r="R15" s="14">
        <v>45629</v>
      </c>
      <c r="S15" s="9" t="s">
        <v>45</v>
      </c>
      <c r="T15" s="9" t="s">
        <v>46</v>
      </c>
      <c r="U15" s="9" t="s">
        <v>47</v>
      </c>
      <c r="V15" s="9" t="s">
        <v>48</v>
      </c>
      <c r="W15" s="8" t="s">
        <v>37</v>
      </c>
      <c r="X15" s="9" t="s">
        <v>48</v>
      </c>
      <c r="Y15" s="14">
        <v>45629</v>
      </c>
      <c r="Z15" s="9" t="s">
        <v>51</v>
      </c>
      <c r="AA15" s="9" t="s">
        <v>51</v>
      </c>
      <c r="AB15" s="9" t="s">
        <v>51</v>
      </c>
    </row>
    <row r="16" spans="1:28" s="16" customFormat="1" ht="30" x14ac:dyDescent="0.25">
      <c r="A16" s="17" t="s">
        <v>52</v>
      </c>
      <c r="B16" s="7" t="s">
        <v>30</v>
      </c>
      <c r="C16" s="7" t="s">
        <v>31</v>
      </c>
      <c r="D16" s="7" t="s">
        <v>32</v>
      </c>
      <c r="E16" s="7" t="s">
        <v>33</v>
      </c>
      <c r="F16" s="7" t="s">
        <v>34</v>
      </c>
      <c r="G16" s="7" t="s">
        <v>35</v>
      </c>
      <c r="H16" s="7" t="s">
        <v>36</v>
      </c>
      <c r="I16" s="8" t="s">
        <v>37</v>
      </c>
      <c r="J16" s="9" t="s">
        <v>39</v>
      </c>
      <c r="K16" s="9" t="s">
        <v>40</v>
      </c>
      <c r="L16" s="9">
        <v>1</v>
      </c>
      <c r="M16" s="11" t="s">
        <v>44</v>
      </c>
      <c r="N16" s="12">
        <v>4655000</v>
      </c>
      <c r="O16" s="12">
        <v>4655000</v>
      </c>
      <c r="P16" s="10">
        <v>1163750</v>
      </c>
      <c r="Q16" s="15">
        <f>O16-P16</f>
        <v>3491250</v>
      </c>
      <c r="R16" s="14">
        <v>45629</v>
      </c>
      <c r="S16" s="9" t="s">
        <v>45</v>
      </c>
      <c r="T16" s="9" t="s">
        <v>46</v>
      </c>
      <c r="U16" s="9" t="s">
        <v>47</v>
      </c>
      <c r="V16" s="9" t="s">
        <v>48</v>
      </c>
      <c r="W16" s="8" t="s">
        <v>37</v>
      </c>
      <c r="X16" s="9" t="s">
        <v>48</v>
      </c>
      <c r="Y16" s="14">
        <v>45629</v>
      </c>
      <c r="Z16" s="9" t="s">
        <v>51</v>
      </c>
      <c r="AA16" s="9" t="s">
        <v>51</v>
      </c>
      <c r="AB16" s="9" t="s">
        <v>51</v>
      </c>
    </row>
    <row r="17" spans="1:28" s="16" customFormat="1" ht="30" x14ac:dyDescent="0.25">
      <c r="A17" s="17" t="s">
        <v>52</v>
      </c>
      <c r="B17" s="7" t="s">
        <v>30</v>
      </c>
      <c r="C17" s="7" t="s">
        <v>31</v>
      </c>
      <c r="D17" s="7" t="s">
        <v>32</v>
      </c>
      <c r="E17" s="7" t="s">
        <v>33</v>
      </c>
      <c r="F17" s="7" t="s">
        <v>34</v>
      </c>
      <c r="G17" s="7" t="s">
        <v>35</v>
      </c>
      <c r="H17" s="7" t="s">
        <v>36</v>
      </c>
      <c r="I17" s="8" t="s">
        <v>37</v>
      </c>
      <c r="J17" s="9" t="s">
        <v>39</v>
      </c>
      <c r="K17" s="9" t="s">
        <v>40</v>
      </c>
      <c r="L17" s="9">
        <v>1</v>
      </c>
      <c r="M17" s="11" t="s">
        <v>44</v>
      </c>
      <c r="N17" s="12">
        <v>4655000</v>
      </c>
      <c r="O17" s="12">
        <v>4655000</v>
      </c>
      <c r="P17" s="10">
        <v>1163750</v>
      </c>
      <c r="Q17" s="15">
        <f>O17-P17</f>
        <v>3491250</v>
      </c>
      <c r="R17" s="14">
        <v>45629</v>
      </c>
      <c r="S17" s="9" t="s">
        <v>45</v>
      </c>
      <c r="T17" s="9" t="s">
        <v>46</v>
      </c>
      <c r="U17" s="9" t="s">
        <v>47</v>
      </c>
      <c r="V17" s="9" t="s">
        <v>48</v>
      </c>
      <c r="W17" s="8" t="s">
        <v>37</v>
      </c>
      <c r="X17" s="9" t="s">
        <v>48</v>
      </c>
      <c r="Y17" s="14">
        <v>45629</v>
      </c>
      <c r="Z17" s="9" t="s">
        <v>51</v>
      </c>
      <c r="AA17" s="9" t="s">
        <v>51</v>
      </c>
      <c r="AB17" s="9" t="s">
        <v>51</v>
      </c>
    </row>
    <row r="18" spans="1:28" s="16" customFormat="1" ht="30" x14ac:dyDescent="0.25">
      <c r="A18" s="17" t="s">
        <v>52</v>
      </c>
      <c r="B18" s="7" t="s">
        <v>30</v>
      </c>
      <c r="C18" s="7" t="s">
        <v>31</v>
      </c>
      <c r="D18" s="7" t="s">
        <v>32</v>
      </c>
      <c r="E18" s="7" t="s">
        <v>33</v>
      </c>
      <c r="F18" s="7" t="s">
        <v>34</v>
      </c>
      <c r="G18" s="7" t="s">
        <v>35</v>
      </c>
      <c r="H18" s="7" t="s">
        <v>36</v>
      </c>
      <c r="I18" s="8" t="s">
        <v>37</v>
      </c>
      <c r="J18" s="9" t="s">
        <v>39</v>
      </c>
      <c r="K18" s="9" t="s">
        <v>41</v>
      </c>
      <c r="L18" s="9">
        <v>1</v>
      </c>
      <c r="M18" s="11" t="s">
        <v>44</v>
      </c>
      <c r="N18" s="12">
        <v>13500000</v>
      </c>
      <c r="O18" s="12">
        <v>13500000</v>
      </c>
      <c r="P18" s="10">
        <v>3375000</v>
      </c>
      <c r="Q18" s="15">
        <f>O18-P18</f>
        <v>10125000</v>
      </c>
      <c r="R18" s="14">
        <v>45629</v>
      </c>
      <c r="S18" s="9" t="s">
        <v>45</v>
      </c>
      <c r="T18" s="9" t="s">
        <v>46</v>
      </c>
      <c r="U18" s="9" t="s">
        <v>47</v>
      </c>
      <c r="V18" s="9" t="s">
        <v>48</v>
      </c>
      <c r="W18" s="8" t="s">
        <v>37</v>
      </c>
      <c r="X18" s="9" t="s">
        <v>48</v>
      </c>
      <c r="Y18" s="14">
        <v>45629</v>
      </c>
      <c r="Z18" s="9" t="s">
        <v>51</v>
      </c>
      <c r="AA18" s="9" t="s">
        <v>51</v>
      </c>
      <c r="AB18" s="9" t="s">
        <v>51</v>
      </c>
    </row>
    <row r="19" spans="1:28" s="16" customFormat="1" ht="45" x14ac:dyDescent="0.25">
      <c r="A19" s="17" t="s">
        <v>52</v>
      </c>
      <c r="B19" s="7" t="s">
        <v>30</v>
      </c>
      <c r="C19" s="7" t="s">
        <v>31</v>
      </c>
      <c r="D19" s="7" t="s">
        <v>32</v>
      </c>
      <c r="E19" s="7" t="s">
        <v>33</v>
      </c>
      <c r="F19" s="7" t="s">
        <v>34</v>
      </c>
      <c r="G19" s="7" t="s">
        <v>35</v>
      </c>
      <c r="H19" s="7" t="s">
        <v>30</v>
      </c>
      <c r="I19" s="8" t="s">
        <v>38</v>
      </c>
      <c r="J19" s="9" t="s">
        <v>42</v>
      </c>
      <c r="K19" s="9" t="s">
        <v>43</v>
      </c>
      <c r="L19" s="9">
        <v>1</v>
      </c>
      <c r="M19" s="11" t="s">
        <v>44</v>
      </c>
      <c r="N19" s="12">
        <v>16413350</v>
      </c>
      <c r="O19" s="12">
        <v>16413350</v>
      </c>
      <c r="P19" s="10">
        <v>4103337.5</v>
      </c>
      <c r="Q19" s="15">
        <f>O19-P19</f>
        <v>12310012.5</v>
      </c>
      <c r="R19" s="14">
        <v>45629</v>
      </c>
      <c r="S19" s="9" t="s">
        <v>45</v>
      </c>
      <c r="T19" s="9" t="s">
        <v>46</v>
      </c>
      <c r="U19" s="9" t="s">
        <v>49</v>
      </c>
      <c r="V19" s="9" t="s">
        <v>50</v>
      </c>
      <c r="W19" s="8" t="s">
        <v>38</v>
      </c>
      <c r="X19" s="9" t="s">
        <v>50</v>
      </c>
      <c r="Y19" s="14">
        <v>45629</v>
      </c>
      <c r="Z19" s="9" t="s">
        <v>51</v>
      </c>
      <c r="AA19" s="9" t="s">
        <v>51</v>
      </c>
      <c r="AB19" s="9" t="s">
        <v>51</v>
      </c>
    </row>
    <row r="20" spans="1:28" x14ac:dyDescent="0.25">
      <c r="A20" s="21" t="s">
        <v>28</v>
      </c>
      <c r="B20" s="22"/>
      <c r="C20" s="22"/>
      <c r="D20" s="22"/>
      <c r="E20" s="22"/>
      <c r="F20" s="22"/>
      <c r="G20" s="22"/>
      <c r="H20" s="22"/>
      <c r="I20" s="22"/>
      <c r="J20" s="22"/>
      <c r="K20" s="23"/>
      <c r="L20" s="5"/>
      <c r="M20" s="5"/>
      <c r="N20" s="13">
        <f>SUBTOTAL(9,N15:N19)</f>
        <v>43878350</v>
      </c>
      <c r="O20" s="13">
        <f t="shared" ref="O20:Q20" si="0">SUBTOTAL(9,O15:O19)</f>
        <v>43878350</v>
      </c>
      <c r="P20" s="13">
        <f t="shared" si="0"/>
        <v>10969587.5</v>
      </c>
      <c r="Q20" s="13">
        <f t="shared" si="0"/>
        <v>32908762.5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6"/>
    </row>
  </sheetData>
  <mergeCells count="26">
    <mergeCell ref="B2:AB2"/>
    <mergeCell ref="B3:AB3"/>
    <mergeCell ref="B4:AB4"/>
    <mergeCell ref="B5:AB5"/>
    <mergeCell ref="B6:AB6"/>
    <mergeCell ref="T11:T13"/>
    <mergeCell ref="U11:W12"/>
    <mergeCell ref="X11:Y12"/>
    <mergeCell ref="Z11:AA12"/>
    <mergeCell ref="AB11:AB13"/>
    <mergeCell ref="B12:H13"/>
    <mergeCell ref="I12:I13"/>
    <mergeCell ref="B14:H14"/>
    <mergeCell ref="A20:K20"/>
    <mergeCell ref="S11:S13"/>
    <mergeCell ref="M11:M13"/>
    <mergeCell ref="N11:N13"/>
    <mergeCell ref="O11:O13"/>
    <mergeCell ref="P11:P13"/>
    <mergeCell ref="Q11:Q13"/>
    <mergeCell ref="R11:R13"/>
    <mergeCell ref="A11:A13"/>
    <mergeCell ref="B11:I11"/>
    <mergeCell ref="J11:J13"/>
    <mergeCell ref="K11:K13"/>
    <mergeCell ref="L11:L13"/>
  </mergeCells>
  <pageMargins left="0.7" right="0.7" top="0.75" bottom="0.75" header="0.3" footer="0.3"/>
  <pageSetup scale="36" orientation="landscape" horizontalDpi="4294967292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IV.B.1.1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Riski Riski</cp:lastModifiedBy>
  <cp:lastPrinted>2024-08-19T12:09:03Z</cp:lastPrinted>
  <dcterms:created xsi:type="dcterms:W3CDTF">2024-08-13T12:20:58Z</dcterms:created>
  <dcterms:modified xsi:type="dcterms:W3CDTF">2024-08-19T12:09:12Z</dcterms:modified>
</cp:coreProperties>
</file>