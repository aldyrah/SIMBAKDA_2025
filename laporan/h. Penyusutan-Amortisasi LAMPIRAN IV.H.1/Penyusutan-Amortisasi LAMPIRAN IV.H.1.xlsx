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5" yWindow="-105" windowWidth="20730" windowHeight="11760"/>
  </bookViews>
  <sheets>
    <sheet name="IV.H.1" sheetId="1" r:id="rId1"/>
  </sheets>
  <definedNames>
    <definedName name="_xlnm.Print_Area" localSheetId="0">IV.H.1!$A$1:$AL$38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26" i="1" l="1"/>
  <c r="X26" i="1"/>
  <c r="Y26" i="1"/>
  <c r="AA26" i="1"/>
  <c r="AB26" i="1"/>
  <c r="AC26" i="1"/>
  <c r="AF26" i="1"/>
  <c r="AH26" i="1"/>
  <c r="AI26" i="1"/>
  <c r="AJ26" i="1"/>
  <c r="AK26" i="1"/>
  <c r="U26" i="1"/>
</calcChain>
</file>

<file path=xl/sharedStrings.xml><?xml version="1.0" encoding="utf-8"?>
<sst xmlns="http://schemas.openxmlformats.org/spreadsheetml/2006/main" count="69" uniqueCount="50">
  <si>
    <t>KUASA PENGGUNA BARANG, PENGGUNA BARANG ATAU PENGELOLA BARANG</t>
  </si>
  <si>
    <t>Penggolongan sesuai kodefikasi barang</t>
  </si>
  <si>
    <t>Spesifikasi Nama Barang</t>
  </si>
  <si>
    <t>Kode Barang</t>
  </si>
  <si>
    <t>Nama Barang</t>
  </si>
  <si>
    <t>Nilai Perolehan</t>
  </si>
  <si>
    <t>Nilai Akumulasi Penyusutan atau Amortisasi</t>
  </si>
  <si>
    <t>Nilai Buku</t>
  </si>
  <si>
    <t>PENYUSUTAN ATAU AMORTISASI BMD</t>
  </si>
  <si>
    <t>ASET TETAP/ASET LAINNYA</t>
  </si>
  <si>
    <t>PROPINSI,KABUPATEN/KOTA</t>
  </si>
  <si>
    <t>NIBAR</t>
  </si>
  <si>
    <t>Tanggal Perolehan</t>
  </si>
  <si>
    <t>Masa Manfaat</t>
  </si>
  <si>
    <t>Penyusutan atau Amortisasi Tahun Sebelumnya</t>
  </si>
  <si>
    <t>Nilai Penyusutan Sebelumnya</t>
  </si>
  <si>
    <t>Masa Manfaat yang Telah Dilalui</t>
  </si>
  <si>
    <t>Nilai Buku Sebelumnya</t>
  </si>
  <si>
    <t>Sisa Masa Manfaat Sebelumnya</t>
  </si>
  <si>
    <t>Nilai Kapitalisasi</t>
  </si>
  <si>
    <t>Nilai Buku Setelah Kapitalisasi</t>
  </si>
  <si>
    <t>Penambahan Masa Manfaat</t>
  </si>
  <si>
    <t>Total Masa Manfaat</t>
  </si>
  <si>
    <t>Beban Penyusutan/Amortisasi</t>
  </si>
  <si>
    <t>Penyusutan atau Amortisasi Tahun Berjalan</t>
  </si>
  <si>
    <t>Total Nilai Perolehan Terakhir</t>
  </si>
  <si>
    <t>Akumulasi Penyusutan/Amortisasi</t>
  </si>
  <si>
    <t>Sisa Masa Manfaat</t>
  </si>
  <si>
    <t>TAHUN 2024</t>
  </si>
  <si>
    <t>Program SIAK</t>
  </si>
  <si>
    <t>00011</t>
  </si>
  <si>
    <t>Penyusutan atau Amortisasi Per 2024</t>
  </si>
  <si>
    <t>Penyusutan atau Amortisasi Per 2023</t>
  </si>
  <si>
    <t>TOTAL</t>
  </si>
  <si>
    <t>Hak Paten Batik Asmat</t>
  </si>
  <si>
    <t>Website asmat.go.id</t>
  </si>
  <si>
    <t>Website pariwisata.asmat.go.id</t>
  </si>
  <si>
    <t>Aplikasi Simbilling Rumah Sakit</t>
  </si>
  <si>
    <t>Aplikasi Sistem Kearsipan Pasien</t>
  </si>
  <si>
    <t>SOFTWARE</t>
  </si>
  <si>
    <t>Aplikasi CBT Test Ujian Sekolah Berbasis Komputer (USBK) Untuk 4 SMA dan 1 SMK</t>
  </si>
  <si>
    <t>00012</t>
  </si>
  <si>
    <t>00013</t>
  </si>
  <si>
    <t>00014</t>
  </si>
  <si>
    <t>00015</t>
  </si>
  <si>
    <t>00016</t>
  </si>
  <si>
    <t>00017</t>
  </si>
  <si>
    <t>00018</t>
  </si>
  <si>
    <t>INTRAKOMTABEL</t>
  </si>
  <si>
    <t>JUNI (SEMESTER PERTAMA)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</si>
</sst>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39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1" xfId="0" applyBorder="1" applyAlignment="1">
      <alignment vertical="center"/>
    </xf>
    <xf numFmtId="0" fontId="0" fillId="0" borderId="1" xfId="0" quotePrefix="1" applyBorder="1" applyAlignment="1">
      <alignment vertical="center"/>
    </xf>
    <xf numFmtId="0" fontId="0" fillId="0" borderId="1" xfId="0" applyBorder="1" applyAlignment="1">
      <alignment vertical="center" wrapText="1"/>
    </xf>
    <xf numFmtId="43" fontId="0" fillId="0" borderId="1" xfId="1" applyFont="1" applyBorder="1" applyAlignment="1">
      <alignment vertical="center" wrapText="1"/>
    </xf>
    <xf numFmtId="0" fontId="0" fillId="0" borderId="0" xfId="0" applyAlignment="1">
      <alignment vertical="center"/>
    </xf>
    <xf numFmtId="43" fontId="1" fillId="2" borderId="1" xfId="0" applyNumberFormat="1" applyFont="1" applyFill="1" applyBorder="1" applyAlignment="1">
      <alignment vertical="center" wrapText="1"/>
    </xf>
    <xf numFmtId="0" fontId="1" fillId="2" borderId="13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0" fillId="0" borderId="0" xfId="0" applyFill="1"/>
    <xf numFmtId="0" fontId="1" fillId="0" borderId="5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11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1" fillId="0" borderId="9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0" fontId="1" fillId="0" borderId="12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13" xfId="0" applyFont="1" applyFill="1" applyBorder="1" applyAlignment="1">
      <alignment horizontal="center" vertical="center" wrapText="1"/>
    </xf>
    <xf numFmtId="0" fontId="1" fillId="0" borderId="14" xfId="0" applyFont="1" applyFill="1" applyBorder="1" applyAlignment="1">
      <alignment horizontal="center" vertical="center" wrapText="1"/>
    </xf>
    <xf numFmtId="0" fontId="1" fillId="0" borderId="15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352425</xdr:colOff>
      <xdr:row>27</xdr:row>
      <xdr:rowOff>0</xdr:rowOff>
    </xdr:from>
    <xdr:to>
      <xdr:col>38</xdr:col>
      <xdr:colOff>1</xdr:colOff>
      <xdr:row>37</xdr:row>
      <xdr:rowOff>137160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1F4143BC-B0A6-486C-B3DD-D9179F65797C}"/>
            </a:ext>
          </a:extLst>
        </xdr:cNvPr>
        <xdr:cNvSpPr txBox="1"/>
      </xdr:nvSpPr>
      <xdr:spPr>
        <a:xfrm>
          <a:off x="23917275" y="8134350"/>
          <a:ext cx="5438776" cy="204216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D" sz="1100" b="1"/>
            <a:t>AGATS, 30</a:t>
          </a:r>
          <a:r>
            <a:rPr lang="en-ID" sz="1100" b="1" baseline="0"/>
            <a:t> JUNI 2024</a:t>
          </a:r>
          <a:endParaRPr lang="en-ID" sz="1100" b="1"/>
        </a:p>
        <a:p>
          <a:pPr algn="ctr"/>
          <a:r>
            <a:rPr lang="en-ID" sz="1100" b="1"/>
            <a:t>Pengguna Barang </a:t>
          </a:r>
        </a:p>
        <a:p>
          <a:pPr algn="ctr"/>
          <a:endParaRPr lang="en-ID" sz="1100" b="1"/>
        </a:p>
        <a:p>
          <a:pPr algn="ctr"/>
          <a:endParaRPr lang="en-ID" sz="1100" b="1"/>
        </a:p>
        <a:p>
          <a:pPr algn="ctr"/>
          <a:endParaRPr lang="en-ID" sz="1100" b="1"/>
        </a:p>
        <a:p>
          <a:pPr algn="ctr"/>
          <a:endParaRPr lang="en-ID" sz="1100" b="1"/>
        </a:p>
        <a:p>
          <a:pPr algn="ctr"/>
          <a:endParaRPr lang="en-ID" sz="1100" b="1"/>
        </a:p>
        <a:p>
          <a:pPr algn="ctr"/>
          <a:endParaRPr lang="en-ID" sz="1100" b="1"/>
        </a:p>
        <a:p>
          <a:pPr algn="ctr"/>
          <a:r>
            <a:rPr lang="en-ID" sz="1100" b="1"/>
            <a:t>Dr. HALASSON F. SINURAT, S.STP, M.Si</a:t>
          </a:r>
        </a:p>
        <a:p>
          <a:pPr algn="ctr"/>
          <a:r>
            <a:rPr lang="en-ID" sz="1100" b="1"/>
            <a:t>NIP.19810824 199912 1 001</a:t>
          </a:r>
        </a:p>
      </xdr:txBody>
    </xdr:sp>
    <xdr:clientData/>
  </xdr:twoCellAnchor>
  <xdr:twoCellAnchor editAs="oneCell">
    <xdr:from>
      <xdr:col>3</xdr:col>
      <xdr:colOff>19050</xdr:colOff>
      <xdr:row>3</xdr:row>
      <xdr:rowOff>85725</xdr:rowOff>
    </xdr:from>
    <xdr:to>
      <xdr:col>7</xdr:col>
      <xdr:colOff>352425</xdr:colOff>
      <xdr:row>7</xdr:row>
      <xdr:rowOff>161925</xdr:rowOff>
    </xdr:to>
    <xdr:pic>
      <xdr:nvPicPr>
        <xdr:cNvPr id="3" name="Picture 2" descr="asmatyo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4850" y="657225"/>
          <a:ext cx="1247775" cy="838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L26"/>
  <sheetViews>
    <sheetView tabSelected="1" view="pageBreakPreview" zoomScale="60" workbookViewId="0">
      <selection activeCell="Z31" sqref="Z31"/>
    </sheetView>
  </sheetViews>
  <sheetFormatPr defaultRowHeight="15" x14ac:dyDescent="0.25"/>
  <cols>
    <col min="1" max="7" width="3.42578125" customWidth="1"/>
    <col min="8" max="8" width="21.140625" customWidth="1"/>
    <col min="9" max="9" width="7.28515625" customWidth="1"/>
    <col min="10" max="15" width="3.42578125" customWidth="1"/>
    <col min="16" max="16" width="3.42578125" style="2" customWidth="1"/>
    <col min="17" max="17" width="27.5703125" style="2" customWidth="1"/>
    <col min="18" max="18" width="32.85546875" style="2" customWidth="1"/>
    <col min="19" max="19" width="9.85546875" style="2" customWidth="1"/>
    <col min="20" max="20" width="8.85546875" style="2"/>
    <col min="21" max="21" width="22.7109375" style="2" bestFit="1" customWidth="1"/>
    <col min="22" max="22" width="27.5703125" style="2" bestFit="1" customWidth="1"/>
    <col min="23" max="23" width="12.7109375" style="2" customWidth="1"/>
    <col min="24" max="24" width="22.5703125" style="2" bestFit="1" customWidth="1"/>
    <col min="25" max="25" width="21.85546875" style="2" bestFit="1" customWidth="1"/>
    <col min="26" max="26" width="14.140625" style="2" customWidth="1"/>
    <col min="27" max="27" width="23" style="2" bestFit="1" customWidth="1"/>
    <col min="28" max="29" width="21.85546875" style="2" bestFit="1" customWidth="1"/>
    <col min="30" max="31" width="13.28515625" style="2" customWidth="1"/>
    <col min="32" max="32" width="21.85546875" style="2" bestFit="1" customWidth="1"/>
    <col min="33" max="33" width="13.28515625" style="2" customWidth="1"/>
    <col min="34" max="34" width="25.85546875" style="2" bestFit="1" customWidth="1"/>
    <col min="35" max="35" width="23" style="2" bestFit="1" customWidth="1"/>
    <col min="36" max="37" width="21.85546875" style="2" bestFit="1" customWidth="1"/>
    <col min="38" max="38" width="11.5703125" style="2" customWidth="1"/>
  </cols>
  <sheetData>
    <row r="2" spans="1:38" x14ac:dyDescent="0.25">
      <c r="A2" s="12" t="s">
        <v>8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</row>
    <row r="3" spans="1:38" x14ac:dyDescent="0.25">
      <c r="A3" s="12" t="s">
        <v>48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</row>
    <row r="4" spans="1:38" x14ac:dyDescent="0.25">
      <c r="A4" s="12" t="s">
        <v>9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</row>
    <row r="5" spans="1:38" x14ac:dyDescent="0.25">
      <c r="A5" s="12" t="s">
        <v>0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</row>
    <row r="6" spans="1:38" x14ac:dyDescent="0.25">
      <c r="A6" s="12" t="s">
        <v>10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</row>
    <row r="7" spans="1:38" x14ac:dyDescent="0.25">
      <c r="A7" s="12" t="s">
        <v>49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</row>
    <row r="8" spans="1:38" x14ac:dyDescent="0.25">
      <c r="A8" s="12" t="s">
        <v>28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</row>
    <row r="9" spans="1:38" x14ac:dyDescent="0.25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</row>
    <row r="11" spans="1:38" x14ac:dyDescent="0.25">
      <c r="A11" s="1"/>
    </row>
    <row r="12" spans="1:38" x14ac:dyDescent="0.25">
      <c r="A12" s="1"/>
    </row>
    <row r="14" spans="1:38" s="22" customFormat="1" ht="72" customHeight="1" x14ac:dyDescent="0.25">
      <c r="A14" s="13" t="s">
        <v>1</v>
      </c>
      <c r="B14" s="13"/>
      <c r="C14" s="13"/>
      <c r="D14" s="13"/>
      <c r="E14" s="13"/>
      <c r="F14" s="13"/>
      <c r="G14" s="13"/>
      <c r="H14" s="13"/>
      <c r="I14" s="13" t="s">
        <v>11</v>
      </c>
      <c r="J14" s="14" t="s">
        <v>3</v>
      </c>
      <c r="K14" s="15"/>
      <c r="L14" s="15"/>
      <c r="M14" s="15"/>
      <c r="N14" s="15"/>
      <c r="O14" s="15"/>
      <c r="P14" s="16"/>
      <c r="Q14" s="17" t="s">
        <v>4</v>
      </c>
      <c r="R14" s="17" t="s">
        <v>2</v>
      </c>
      <c r="S14" s="18" t="s">
        <v>12</v>
      </c>
      <c r="T14" s="18" t="s">
        <v>13</v>
      </c>
      <c r="U14" s="19" t="s">
        <v>14</v>
      </c>
      <c r="V14" s="20"/>
      <c r="W14" s="20"/>
      <c r="X14" s="20"/>
      <c r="Y14" s="20"/>
      <c r="Z14" s="21"/>
      <c r="AA14" s="19" t="s">
        <v>24</v>
      </c>
      <c r="AB14" s="20"/>
      <c r="AC14" s="20"/>
      <c r="AD14" s="20"/>
      <c r="AE14" s="20"/>
      <c r="AF14" s="20"/>
      <c r="AG14" s="20"/>
      <c r="AH14" s="21"/>
      <c r="AI14" s="17" t="s">
        <v>25</v>
      </c>
      <c r="AJ14" s="18" t="s">
        <v>26</v>
      </c>
      <c r="AK14" s="18" t="s">
        <v>7</v>
      </c>
      <c r="AL14" s="18" t="s">
        <v>27</v>
      </c>
    </row>
    <row r="15" spans="1:38" s="22" customFormat="1" ht="28.9" customHeight="1" x14ac:dyDescent="0.25">
      <c r="A15" s="13" t="s">
        <v>3</v>
      </c>
      <c r="B15" s="13"/>
      <c r="C15" s="13"/>
      <c r="D15" s="13"/>
      <c r="E15" s="13"/>
      <c r="F15" s="13"/>
      <c r="G15" s="13"/>
      <c r="H15" s="13" t="s">
        <v>4</v>
      </c>
      <c r="I15" s="13"/>
      <c r="J15" s="23"/>
      <c r="K15" s="24"/>
      <c r="L15" s="24"/>
      <c r="M15" s="24"/>
      <c r="N15" s="24"/>
      <c r="O15" s="24"/>
      <c r="P15" s="25"/>
      <c r="Q15" s="17"/>
      <c r="R15" s="17"/>
      <c r="S15" s="26"/>
      <c r="T15" s="26"/>
      <c r="U15" s="27"/>
      <c r="V15" s="28"/>
      <c r="W15" s="28"/>
      <c r="X15" s="28"/>
      <c r="Y15" s="28"/>
      <c r="Z15" s="29"/>
      <c r="AA15" s="27"/>
      <c r="AB15" s="28"/>
      <c r="AC15" s="28"/>
      <c r="AD15" s="28"/>
      <c r="AE15" s="28"/>
      <c r="AF15" s="28"/>
      <c r="AG15" s="28"/>
      <c r="AH15" s="29"/>
      <c r="AI15" s="17"/>
      <c r="AJ15" s="26"/>
      <c r="AK15" s="26"/>
      <c r="AL15" s="26"/>
    </row>
    <row r="16" spans="1:38" s="22" customFormat="1" ht="60" x14ac:dyDescent="0.25">
      <c r="A16" s="13"/>
      <c r="B16" s="13"/>
      <c r="C16" s="13"/>
      <c r="D16" s="13"/>
      <c r="E16" s="13"/>
      <c r="F16" s="13"/>
      <c r="G16" s="13"/>
      <c r="H16" s="13"/>
      <c r="I16" s="13"/>
      <c r="J16" s="30"/>
      <c r="K16" s="31"/>
      <c r="L16" s="31"/>
      <c r="M16" s="31"/>
      <c r="N16" s="31"/>
      <c r="O16" s="31"/>
      <c r="P16" s="32"/>
      <c r="Q16" s="17"/>
      <c r="R16" s="17"/>
      <c r="S16" s="33"/>
      <c r="T16" s="33"/>
      <c r="U16" s="34" t="s">
        <v>15</v>
      </c>
      <c r="V16" s="34" t="s">
        <v>32</v>
      </c>
      <c r="W16" s="34" t="s">
        <v>16</v>
      </c>
      <c r="X16" s="34" t="s">
        <v>6</v>
      </c>
      <c r="Y16" s="34" t="s">
        <v>17</v>
      </c>
      <c r="Z16" s="34" t="s">
        <v>18</v>
      </c>
      <c r="AA16" s="34" t="s">
        <v>5</v>
      </c>
      <c r="AB16" s="34" t="s">
        <v>19</v>
      </c>
      <c r="AC16" s="34" t="s">
        <v>20</v>
      </c>
      <c r="AD16" s="34" t="s">
        <v>21</v>
      </c>
      <c r="AE16" s="34" t="s">
        <v>22</v>
      </c>
      <c r="AF16" s="34" t="s">
        <v>31</v>
      </c>
      <c r="AG16" s="34" t="s">
        <v>16</v>
      </c>
      <c r="AH16" s="34" t="s">
        <v>23</v>
      </c>
      <c r="AI16" s="17"/>
      <c r="AJ16" s="33"/>
      <c r="AK16" s="33"/>
      <c r="AL16" s="33"/>
    </row>
    <row r="17" spans="1:38" s="22" customFormat="1" x14ac:dyDescent="0.25">
      <c r="A17" s="13">
        <v>1</v>
      </c>
      <c r="B17" s="13"/>
      <c r="C17" s="13"/>
      <c r="D17" s="13"/>
      <c r="E17" s="13"/>
      <c r="F17" s="13"/>
      <c r="G17" s="13"/>
      <c r="H17" s="35">
        <v>2</v>
      </c>
      <c r="I17" s="35">
        <v>3</v>
      </c>
      <c r="J17" s="36">
        <v>4</v>
      </c>
      <c r="K17" s="37"/>
      <c r="L17" s="37"/>
      <c r="M17" s="37"/>
      <c r="N17" s="37"/>
      <c r="O17" s="37"/>
      <c r="P17" s="38"/>
      <c r="Q17" s="35">
        <v>5</v>
      </c>
      <c r="R17" s="34">
        <v>6</v>
      </c>
      <c r="S17" s="35">
        <v>7</v>
      </c>
      <c r="T17" s="34">
        <v>8</v>
      </c>
      <c r="U17" s="35">
        <v>9</v>
      </c>
      <c r="V17" s="34">
        <v>10</v>
      </c>
      <c r="W17" s="35">
        <v>11</v>
      </c>
      <c r="X17" s="34">
        <v>12</v>
      </c>
      <c r="Y17" s="35">
        <v>13</v>
      </c>
      <c r="Z17" s="34">
        <v>14</v>
      </c>
      <c r="AA17" s="35">
        <v>15</v>
      </c>
      <c r="AB17" s="34">
        <v>16</v>
      </c>
      <c r="AC17" s="35">
        <v>17</v>
      </c>
      <c r="AD17" s="34">
        <v>18</v>
      </c>
      <c r="AE17" s="35">
        <v>19</v>
      </c>
      <c r="AF17" s="34">
        <v>20</v>
      </c>
      <c r="AG17" s="35">
        <v>21</v>
      </c>
      <c r="AH17" s="34">
        <v>22</v>
      </c>
      <c r="AI17" s="35">
        <v>23</v>
      </c>
      <c r="AJ17" s="34">
        <v>24</v>
      </c>
      <c r="AK17" s="35">
        <v>25</v>
      </c>
      <c r="AL17" s="34">
        <v>26</v>
      </c>
    </row>
    <row r="18" spans="1:38" s="7" customFormat="1" ht="66" customHeight="1" x14ac:dyDescent="0.25">
      <c r="A18" s="3">
        <v>1</v>
      </c>
      <c r="B18" s="3">
        <v>5</v>
      </c>
      <c r="C18" s="3">
        <v>3</v>
      </c>
      <c r="D18" s="3">
        <v>11</v>
      </c>
      <c r="E18" s="3">
        <v>4</v>
      </c>
      <c r="F18" s="3">
        <v>1</v>
      </c>
      <c r="G18" s="3">
        <v>55</v>
      </c>
      <c r="H18" s="3" t="s">
        <v>29</v>
      </c>
      <c r="I18" s="4" t="s">
        <v>30</v>
      </c>
      <c r="J18" s="3">
        <v>1</v>
      </c>
      <c r="K18" s="3">
        <v>5</v>
      </c>
      <c r="L18" s="3">
        <v>3</v>
      </c>
      <c r="M18" s="3">
        <v>11</v>
      </c>
      <c r="N18" s="3">
        <v>4</v>
      </c>
      <c r="O18" s="3">
        <v>1</v>
      </c>
      <c r="P18" s="3">
        <v>55</v>
      </c>
      <c r="Q18" s="3" t="s">
        <v>29</v>
      </c>
      <c r="R18" s="3" t="s">
        <v>29</v>
      </c>
      <c r="S18" s="5">
        <v>2008</v>
      </c>
      <c r="T18" s="5">
        <v>20</v>
      </c>
      <c r="U18" s="6">
        <v>26250000</v>
      </c>
      <c r="V18" s="6">
        <v>1750000</v>
      </c>
      <c r="W18" s="6">
        <v>16</v>
      </c>
      <c r="X18" s="6">
        <v>28000000</v>
      </c>
      <c r="Y18" s="6">
        <v>7000000</v>
      </c>
      <c r="Z18" s="6">
        <v>4</v>
      </c>
      <c r="AA18" s="6">
        <v>35000000</v>
      </c>
      <c r="AB18" s="6">
        <v>29750000</v>
      </c>
      <c r="AC18" s="6">
        <v>5250000</v>
      </c>
      <c r="AD18" s="6">
        <v>1</v>
      </c>
      <c r="AE18" s="6">
        <v>17</v>
      </c>
      <c r="AF18" s="6">
        <v>1750000</v>
      </c>
      <c r="AG18" s="6">
        <v>17</v>
      </c>
      <c r="AH18" s="6">
        <v>1750000</v>
      </c>
      <c r="AI18" s="6">
        <v>35000000</v>
      </c>
      <c r="AJ18" s="6">
        <v>29750000</v>
      </c>
      <c r="AK18" s="6">
        <v>5250000</v>
      </c>
      <c r="AL18" s="6">
        <v>3</v>
      </c>
    </row>
    <row r="19" spans="1:38" s="7" customFormat="1" ht="66" customHeight="1" x14ac:dyDescent="0.25">
      <c r="A19" s="3">
        <v>1</v>
      </c>
      <c r="B19" s="3">
        <v>5</v>
      </c>
      <c r="C19" s="3">
        <v>3</v>
      </c>
      <c r="D19" s="3">
        <v>12</v>
      </c>
      <c r="E19" s="3">
        <v>4</v>
      </c>
      <c r="F19" s="3">
        <v>1</v>
      </c>
      <c r="G19" s="3">
        <v>56</v>
      </c>
      <c r="H19" s="5" t="s">
        <v>34</v>
      </c>
      <c r="I19" s="4" t="s">
        <v>41</v>
      </c>
      <c r="J19" s="3">
        <v>1</v>
      </c>
      <c r="K19" s="3">
        <v>5</v>
      </c>
      <c r="L19" s="3">
        <v>3</v>
      </c>
      <c r="M19" s="3">
        <v>12</v>
      </c>
      <c r="N19" s="3">
        <v>4</v>
      </c>
      <c r="O19" s="3">
        <v>1</v>
      </c>
      <c r="P19" s="3">
        <v>56</v>
      </c>
      <c r="Q19" s="5" t="s">
        <v>34</v>
      </c>
      <c r="R19" s="5" t="s">
        <v>34</v>
      </c>
      <c r="S19" s="5">
        <v>2009</v>
      </c>
      <c r="T19" s="5">
        <v>20</v>
      </c>
      <c r="U19" s="5">
        <v>69300000</v>
      </c>
      <c r="V19" s="6">
        <v>4950000</v>
      </c>
      <c r="W19" s="6">
        <v>15</v>
      </c>
      <c r="X19" s="6">
        <v>74250000</v>
      </c>
      <c r="Y19" s="6">
        <v>24750000</v>
      </c>
      <c r="Z19" s="6">
        <v>5</v>
      </c>
      <c r="AA19" s="6">
        <v>99000000</v>
      </c>
      <c r="AB19" s="6">
        <v>79200000</v>
      </c>
      <c r="AC19" s="6">
        <v>19800000</v>
      </c>
      <c r="AD19" s="6">
        <v>1</v>
      </c>
      <c r="AE19" s="6">
        <v>16</v>
      </c>
      <c r="AF19" s="6">
        <v>4950000</v>
      </c>
      <c r="AG19" s="6">
        <v>16</v>
      </c>
      <c r="AH19" s="6">
        <v>4950000</v>
      </c>
      <c r="AI19" s="6">
        <v>99000000</v>
      </c>
      <c r="AJ19" s="6">
        <v>79200000</v>
      </c>
      <c r="AK19" s="6">
        <v>19800000</v>
      </c>
      <c r="AL19" s="6">
        <v>4</v>
      </c>
    </row>
    <row r="20" spans="1:38" s="7" customFormat="1" ht="66" customHeight="1" x14ac:dyDescent="0.25">
      <c r="A20" s="3">
        <v>1</v>
      </c>
      <c r="B20" s="3">
        <v>5</v>
      </c>
      <c r="C20" s="3">
        <v>3</v>
      </c>
      <c r="D20" s="3">
        <v>13</v>
      </c>
      <c r="E20" s="3">
        <v>4</v>
      </c>
      <c r="F20" s="3">
        <v>1</v>
      </c>
      <c r="G20" s="3">
        <v>57</v>
      </c>
      <c r="H20" s="5" t="s">
        <v>35</v>
      </c>
      <c r="I20" s="4" t="s">
        <v>42</v>
      </c>
      <c r="J20" s="3">
        <v>1</v>
      </c>
      <c r="K20" s="3">
        <v>5</v>
      </c>
      <c r="L20" s="3">
        <v>3</v>
      </c>
      <c r="M20" s="3">
        <v>13</v>
      </c>
      <c r="N20" s="3">
        <v>4</v>
      </c>
      <c r="O20" s="3">
        <v>1</v>
      </c>
      <c r="P20" s="3">
        <v>57</v>
      </c>
      <c r="Q20" s="5" t="s">
        <v>35</v>
      </c>
      <c r="R20" s="5" t="s">
        <v>35</v>
      </c>
      <c r="S20" s="5">
        <v>2014</v>
      </c>
      <c r="T20" s="5">
        <v>20</v>
      </c>
      <c r="U20" s="5">
        <v>172080000</v>
      </c>
      <c r="V20" s="6">
        <v>19120000</v>
      </c>
      <c r="W20" s="6">
        <v>10</v>
      </c>
      <c r="X20" s="6">
        <v>191200000</v>
      </c>
      <c r="Y20" s="6">
        <v>191200000</v>
      </c>
      <c r="Z20" s="6">
        <v>10</v>
      </c>
      <c r="AA20" s="6">
        <v>382400000</v>
      </c>
      <c r="AB20" s="6">
        <v>210320000</v>
      </c>
      <c r="AC20" s="6">
        <v>172080000</v>
      </c>
      <c r="AD20" s="6">
        <v>1</v>
      </c>
      <c r="AE20" s="6">
        <v>11</v>
      </c>
      <c r="AF20" s="6">
        <v>19120000</v>
      </c>
      <c r="AG20" s="6">
        <v>11</v>
      </c>
      <c r="AH20" s="6">
        <v>19120000</v>
      </c>
      <c r="AI20" s="6">
        <v>382400000</v>
      </c>
      <c r="AJ20" s="6">
        <v>210320000</v>
      </c>
      <c r="AK20" s="6">
        <v>172080000</v>
      </c>
      <c r="AL20" s="6">
        <v>9</v>
      </c>
    </row>
    <row r="21" spans="1:38" s="7" customFormat="1" ht="66" customHeight="1" x14ac:dyDescent="0.25">
      <c r="A21" s="3">
        <v>1</v>
      </c>
      <c r="B21" s="3">
        <v>5</v>
      </c>
      <c r="C21" s="3">
        <v>3</v>
      </c>
      <c r="D21" s="3">
        <v>14</v>
      </c>
      <c r="E21" s="3">
        <v>4</v>
      </c>
      <c r="F21" s="3">
        <v>1</v>
      </c>
      <c r="G21" s="3">
        <v>58</v>
      </c>
      <c r="H21" s="5" t="s">
        <v>36</v>
      </c>
      <c r="I21" s="4" t="s">
        <v>43</v>
      </c>
      <c r="J21" s="3">
        <v>1</v>
      </c>
      <c r="K21" s="3">
        <v>5</v>
      </c>
      <c r="L21" s="3">
        <v>3</v>
      </c>
      <c r="M21" s="3">
        <v>14</v>
      </c>
      <c r="N21" s="3">
        <v>4</v>
      </c>
      <c r="O21" s="3">
        <v>1</v>
      </c>
      <c r="P21" s="3">
        <v>58</v>
      </c>
      <c r="Q21" s="5" t="s">
        <v>36</v>
      </c>
      <c r="R21" s="5" t="s">
        <v>36</v>
      </c>
      <c r="S21" s="5">
        <v>2015</v>
      </c>
      <c r="T21" s="5">
        <v>20</v>
      </c>
      <c r="U21" s="5">
        <v>64200000</v>
      </c>
      <c r="V21" s="6">
        <v>8025000</v>
      </c>
      <c r="W21" s="6">
        <v>9</v>
      </c>
      <c r="X21" s="6">
        <v>72225000</v>
      </c>
      <c r="Y21" s="6">
        <v>88275000</v>
      </c>
      <c r="Z21" s="6">
        <v>11</v>
      </c>
      <c r="AA21" s="6">
        <v>160500000</v>
      </c>
      <c r="AB21" s="6">
        <v>80250000</v>
      </c>
      <c r="AC21" s="6">
        <v>80250000</v>
      </c>
      <c r="AD21" s="6">
        <v>1</v>
      </c>
      <c r="AE21" s="6">
        <v>10</v>
      </c>
      <c r="AF21" s="6">
        <v>8025000</v>
      </c>
      <c r="AG21" s="6">
        <v>10</v>
      </c>
      <c r="AH21" s="6">
        <v>8025000</v>
      </c>
      <c r="AI21" s="6">
        <v>160500000</v>
      </c>
      <c r="AJ21" s="6">
        <v>80250000</v>
      </c>
      <c r="AK21" s="6">
        <v>80250000</v>
      </c>
      <c r="AL21" s="6">
        <v>10</v>
      </c>
    </row>
    <row r="22" spans="1:38" s="7" customFormat="1" ht="66" customHeight="1" x14ac:dyDescent="0.25">
      <c r="A22" s="3">
        <v>1</v>
      </c>
      <c r="B22" s="3">
        <v>5</v>
      </c>
      <c r="C22" s="3">
        <v>3</v>
      </c>
      <c r="D22" s="3">
        <v>15</v>
      </c>
      <c r="E22" s="3">
        <v>4</v>
      </c>
      <c r="F22" s="3">
        <v>1</v>
      </c>
      <c r="G22" s="3">
        <v>59</v>
      </c>
      <c r="H22" s="5" t="s">
        <v>37</v>
      </c>
      <c r="I22" s="4" t="s">
        <v>44</v>
      </c>
      <c r="J22" s="3">
        <v>1</v>
      </c>
      <c r="K22" s="3">
        <v>5</v>
      </c>
      <c r="L22" s="3">
        <v>3</v>
      </c>
      <c r="M22" s="3">
        <v>15</v>
      </c>
      <c r="N22" s="3">
        <v>4</v>
      </c>
      <c r="O22" s="3">
        <v>1</v>
      </c>
      <c r="P22" s="3">
        <v>59</v>
      </c>
      <c r="Q22" s="5" t="s">
        <v>37</v>
      </c>
      <c r="R22" s="5" t="s">
        <v>37</v>
      </c>
      <c r="S22" s="5">
        <v>2018</v>
      </c>
      <c r="T22" s="5">
        <v>20</v>
      </c>
      <c r="U22" s="5">
        <v>28050000</v>
      </c>
      <c r="V22" s="6">
        <v>5610000</v>
      </c>
      <c r="W22" s="6">
        <v>6</v>
      </c>
      <c r="X22" s="6">
        <v>33660000</v>
      </c>
      <c r="Y22" s="6">
        <v>78540000</v>
      </c>
      <c r="Z22" s="6">
        <v>14</v>
      </c>
      <c r="AA22" s="6">
        <v>112200000</v>
      </c>
      <c r="AB22" s="6">
        <v>39270000</v>
      </c>
      <c r="AC22" s="6">
        <v>72930000</v>
      </c>
      <c r="AD22" s="6">
        <v>1</v>
      </c>
      <c r="AE22" s="6">
        <v>7</v>
      </c>
      <c r="AF22" s="6">
        <v>5610000</v>
      </c>
      <c r="AG22" s="6">
        <v>7</v>
      </c>
      <c r="AH22" s="6">
        <v>5610000</v>
      </c>
      <c r="AI22" s="6">
        <v>112200000</v>
      </c>
      <c r="AJ22" s="6">
        <v>39270000</v>
      </c>
      <c r="AK22" s="6">
        <v>72930000</v>
      </c>
      <c r="AL22" s="6">
        <v>13</v>
      </c>
    </row>
    <row r="23" spans="1:38" s="7" customFormat="1" ht="66" customHeight="1" x14ac:dyDescent="0.25">
      <c r="A23" s="3">
        <v>1</v>
      </c>
      <c r="B23" s="3">
        <v>5</v>
      </c>
      <c r="C23" s="3">
        <v>3</v>
      </c>
      <c r="D23" s="3">
        <v>16</v>
      </c>
      <c r="E23" s="3">
        <v>4</v>
      </c>
      <c r="F23" s="3">
        <v>1</v>
      </c>
      <c r="G23" s="3">
        <v>60</v>
      </c>
      <c r="H23" s="5" t="s">
        <v>38</v>
      </c>
      <c r="I23" s="4" t="s">
        <v>45</v>
      </c>
      <c r="J23" s="3">
        <v>1</v>
      </c>
      <c r="K23" s="3">
        <v>5</v>
      </c>
      <c r="L23" s="3">
        <v>3</v>
      </c>
      <c r="M23" s="3">
        <v>16</v>
      </c>
      <c r="N23" s="3">
        <v>4</v>
      </c>
      <c r="O23" s="3">
        <v>1</v>
      </c>
      <c r="P23" s="3">
        <v>60</v>
      </c>
      <c r="Q23" s="5" t="s">
        <v>38</v>
      </c>
      <c r="R23" s="5" t="s">
        <v>38</v>
      </c>
      <c r="S23" s="5">
        <v>2018</v>
      </c>
      <c r="T23" s="5">
        <v>20</v>
      </c>
      <c r="U23" s="5">
        <v>31625000</v>
      </c>
      <c r="V23" s="6">
        <v>6325000</v>
      </c>
      <c r="W23" s="6">
        <v>6</v>
      </c>
      <c r="X23" s="6">
        <v>37950000</v>
      </c>
      <c r="Y23" s="6">
        <v>88550000</v>
      </c>
      <c r="Z23" s="6">
        <v>14</v>
      </c>
      <c r="AA23" s="6">
        <v>126500000</v>
      </c>
      <c r="AB23" s="6">
        <v>44275000</v>
      </c>
      <c r="AC23" s="6">
        <v>82225000</v>
      </c>
      <c r="AD23" s="6">
        <v>1</v>
      </c>
      <c r="AE23" s="6">
        <v>7</v>
      </c>
      <c r="AF23" s="6">
        <v>6325000</v>
      </c>
      <c r="AG23" s="6">
        <v>7</v>
      </c>
      <c r="AH23" s="6">
        <v>6325000</v>
      </c>
      <c r="AI23" s="6">
        <v>126500000</v>
      </c>
      <c r="AJ23" s="6">
        <v>44275000</v>
      </c>
      <c r="AK23" s="6">
        <v>82225000</v>
      </c>
      <c r="AL23" s="6">
        <v>13</v>
      </c>
    </row>
    <row r="24" spans="1:38" s="7" customFormat="1" ht="66" customHeight="1" x14ac:dyDescent="0.25">
      <c r="A24" s="3">
        <v>1</v>
      </c>
      <c r="B24" s="3">
        <v>5</v>
      </c>
      <c r="C24" s="3">
        <v>3</v>
      </c>
      <c r="D24" s="3">
        <v>17</v>
      </c>
      <c r="E24" s="3">
        <v>4</v>
      </c>
      <c r="F24" s="3">
        <v>1</v>
      </c>
      <c r="G24" s="3">
        <v>61</v>
      </c>
      <c r="H24" s="5" t="s">
        <v>39</v>
      </c>
      <c r="I24" s="4" t="s">
        <v>46</v>
      </c>
      <c r="J24" s="3">
        <v>1</v>
      </c>
      <c r="K24" s="3">
        <v>5</v>
      </c>
      <c r="L24" s="3">
        <v>3</v>
      </c>
      <c r="M24" s="3">
        <v>17</v>
      </c>
      <c r="N24" s="3">
        <v>4</v>
      </c>
      <c r="O24" s="3">
        <v>1</v>
      </c>
      <c r="P24" s="3">
        <v>61</v>
      </c>
      <c r="Q24" s="5" t="s">
        <v>39</v>
      </c>
      <c r="R24" s="5" t="s">
        <v>39</v>
      </c>
      <c r="S24" s="5">
        <v>2019</v>
      </c>
      <c r="T24" s="5">
        <v>20</v>
      </c>
      <c r="U24" s="5">
        <v>30910000</v>
      </c>
      <c r="V24" s="6">
        <v>7727500</v>
      </c>
      <c r="W24" s="6">
        <v>5</v>
      </c>
      <c r="X24" s="6">
        <v>38637500</v>
      </c>
      <c r="Y24" s="6">
        <v>115912500</v>
      </c>
      <c r="Z24" s="6">
        <v>15</v>
      </c>
      <c r="AA24" s="6">
        <v>154550000</v>
      </c>
      <c r="AB24" s="6">
        <v>46365000</v>
      </c>
      <c r="AC24" s="6">
        <v>108185000</v>
      </c>
      <c r="AD24" s="6">
        <v>1</v>
      </c>
      <c r="AE24" s="6">
        <v>6</v>
      </c>
      <c r="AF24" s="6">
        <v>7727500</v>
      </c>
      <c r="AG24" s="6">
        <v>6</v>
      </c>
      <c r="AH24" s="6">
        <v>7727500</v>
      </c>
      <c r="AI24" s="6">
        <v>154550000</v>
      </c>
      <c r="AJ24" s="6">
        <v>46365000</v>
      </c>
      <c r="AK24" s="6">
        <v>108185000</v>
      </c>
      <c r="AL24" s="6">
        <v>14</v>
      </c>
    </row>
    <row r="25" spans="1:38" s="7" customFormat="1" ht="66" customHeight="1" x14ac:dyDescent="0.25">
      <c r="A25" s="3">
        <v>1</v>
      </c>
      <c r="B25" s="3">
        <v>5</v>
      </c>
      <c r="C25" s="3">
        <v>3</v>
      </c>
      <c r="D25" s="3">
        <v>18</v>
      </c>
      <c r="E25" s="3">
        <v>4</v>
      </c>
      <c r="F25" s="3">
        <v>1</v>
      </c>
      <c r="G25" s="3">
        <v>62</v>
      </c>
      <c r="H25" s="5" t="s">
        <v>40</v>
      </c>
      <c r="I25" s="4" t="s">
        <v>47</v>
      </c>
      <c r="J25" s="3">
        <v>1</v>
      </c>
      <c r="K25" s="3">
        <v>5</v>
      </c>
      <c r="L25" s="3">
        <v>3</v>
      </c>
      <c r="M25" s="3">
        <v>18</v>
      </c>
      <c r="N25" s="3">
        <v>4</v>
      </c>
      <c r="O25" s="3">
        <v>1</v>
      </c>
      <c r="P25" s="3">
        <v>62</v>
      </c>
      <c r="Q25" s="5" t="s">
        <v>40</v>
      </c>
      <c r="R25" s="5" t="s">
        <v>40</v>
      </c>
      <c r="S25" s="5">
        <v>2022</v>
      </c>
      <c r="T25" s="5">
        <v>20</v>
      </c>
      <c r="U25" s="6">
        <v>3022250</v>
      </c>
      <c r="V25" s="6">
        <v>3022250</v>
      </c>
      <c r="W25" s="6">
        <v>2</v>
      </c>
      <c r="X25" s="6">
        <v>6044500</v>
      </c>
      <c r="Y25" s="6">
        <v>54400500</v>
      </c>
      <c r="Z25" s="6">
        <v>18</v>
      </c>
      <c r="AA25" s="6">
        <v>60445000</v>
      </c>
      <c r="AB25" s="6">
        <v>9066750</v>
      </c>
      <c r="AC25" s="6">
        <v>51378250</v>
      </c>
      <c r="AD25" s="6">
        <v>1</v>
      </c>
      <c r="AE25" s="6">
        <v>3</v>
      </c>
      <c r="AF25" s="6">
        <v>3022250</v>
      </c>
      <c r="AG25" s="6">
        <v>3</v>
      </c>
      <c r="AH25" s="6">
        <v>3022250</v>
      </c>
      <c r="AI25" s="6">
        <v>60445000</v>
      </c>
      <c r="AJ25" s="6">
        <v>9066750</v>
      </c>
      <c r="AK25" s="6">
        <v>51378250</v>
      </c>
      <c r="AL25" s="6">
        <v>17</v>
      </c>
    </row>
    <row r="26" spans="1:38" s="7" customFormat="1" ht="66" customHeight="1" x14ac:dyDescent="0.25">
      <c r="A26" s="9" t="s">
        <v>33</v>
      </c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1"/>
      <c r="U26" s="8">
        <f>SUM(U18:U25)</f>
        <v>425437250</v>
      </c>
      <c r="V26" s="8">
        <f t="shared" ref="V26:AK26" si="0">SUM(V18:V25)</f>
        <v>56529750</v>
      </c>
      <c r="W26" s="8"/>
      <c r="X26" s="8">
        <f t="shared" si="0"/>
        <v>481967000</v>
      </c>
      <c r="Y26" s="8">
        <f t="shared" si="0"/>
        <v>648628000</v>
      </c>
      <c r="Z26" s="8"/>
      <c r="AA26" s="8">
        <f t="shared" si="0"/>
        <v>1130595000</v>
      </c>
      <c r="AB26" s="8">
        <f t="shared" si="0"/>
        <v>538496750</v>
      </c>
      <c r="AC26" s="8">
        <f t="shared" si="0"/>
        <v>592098250</v>
      </c>
      <c r="AD26" s="8"/>
      <c r="AE26" s="8"/>
      <c r="AF26" s="8">
        <f t="shared" si="0"/>
        <v>56529750</v>
      </c>
      <c r="AG26" s="8"/>
      <c r="AH26" s="8">
        <f t="shared" si="0"/>
        <v>56529750</v>
      </c>
      <c r="AI26" s="8">
        <f t="shared" si="0"/>
        <v>1130595000</v>
      </c>
      <c r="AJ26" s="8">
        <f t="shared" si="0"/>
        <v>538496750</v>
      </c>
      <c r="AK26" s="8">
        <f t="shared" si="0"/>
        <v>592098250</v>
      </c>
      <c r="AL26" s="8"/>
    </row>
  </sheetData>
  <mergeCells count="26">
    <mergeCell ref="A26:T26"/>
    <mergeCell ref="I14:I16"/>
    <mergeCell ref="Q14:Q16"/>
    <mergeCell ref="R14:R16"/>
    <mergeCell ref="A2:AL2"/>
    <mergeCell ref="A3:AL3"/>
    <mergeCell ref="A5:AL5"/>
    <mergeCell ref="A7:AL7"/>
    <mergeCell ref="A8:AL8"/>
    <mergeCell ref="A9:AL9"/>
    <mergeCell ref="J17:P17"/>
    <mergeCell ref="A17:G17"/>
    <mergeCell ref="A4:AL4"/>
    <mergeCell ref="A6:AL6"/>
    <mergeCell ref="J14:P16"/>
    <mergeCell ref="S14:S16"/>
    <mergeCell ref="A15:G16"/>
    <mergeCell ref="H15:H16"/>
    <mergeCell ref="AL14:AL16"/>
    <mergeCell ref="A14:H14"/>
    <mergeCell ref="T14:T16"/>
    <mergeCell ref="U14:Z15"/>
    <mergeCell ref="AA14:AH15"/>
    <mergeCell ref="AJ14:AJ16"/>
    <mergeCell ref="AK14:AK16"/>
    <mergeCell ref="AI14:AI16"/>
  </mergeCells>
  <pageMargins left="0.7" right="0.7" top="0.75" bottom="0.75" header="0.3" footer="0.3"/>
  <pageSetup paperSize="66" scale="55" orientation="landscape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IV.H.1</vt:lpstr>
      <vt:lpstr>IV.H.1!Print_Area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Nanang Jatmiko</dc:creator>
  <cp:lastModifiedBy>dwiph</cp:lastModifiedBy>
  <cp:lastPrinted>2024-05-08T07:15:32Z</cp:lastPrinted>
  <dcterms:created xsi:type="dcterms:W3CDTF">2024-05-07T12:06:44Z</dcterms:created>
  <dcterms:modified xsi:type="dcterms:W3CDTF">2024-08-13T12:42:17Z</dcterms:modified>
</cp:coreProperties>
</file>