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G.1" sheetId="1" r:id="rId1"/>
  </sheets>
  <calcPr calcId="144525"/>
</workbook>
</file>

<file path=xl/calcChain.xml><?xml version="1.0" encoding="utf-8"?>
<calcChain xmlns="http://schemas.openxmlformats.org/spreadsheetml/2006/main">
  <c r="Q17" i="1" l="1"/>
  <c r="P17" i="1"/>
  <c r="N17" i="1"/>
  <c r="M17" i="1"/>
  <c r="L17" i="1"/>
  <c r="T16" i="1"/>
  <c r="T17" i="1" s="1"/>
  <c r="S16" i="1"/>
  <c r="S17" i="1" s="1"/>
  <c r="R16" i="1"/>
  <c r="R17" i="1" s="1"/>
  <c r="O16" i="1"/>
  <c r="O17" i="1" s="1"/>
  <c r="M16" i="1"/>
  <c r="U16" i="1" l="1"/>
  <c r="U17" i="1" s="1"/>
</calcChain>
</file>

<file path=xl/sharedStrings.xml><?xml version="1.0" encoding="utf-8"?>
<sst xmlns="http://schemas.openxmlformats.org/spreadsheetml/2006/main" count="48" uniqueCount="39">
  <si>
    <t xml:space="preserve">LAPORAN KOREKSI BMD MASA MANFAAT </t>
  </si>
  <si>
    <t>INTRAKOMTABEL/EKSTRAKOMTABEL</t>
  </si>
  <si>
    <t>KUASA PENGGUNA BARANG, PENGGUNA BARANG ATAU PENGELOLA BARANG</t>
  </si>
  <si>
    <t>TAHUN 2024</t>
  </si>
  <si>
    <t xml:space="preserve">Propinsi Papua Selatan </t>
  </si>
  <si>
    <t>Kabupaten Asmat</t>
  </si>
  <si>
    <t>Penggolongan sesuai kodefikasi barang</t>
  </si>
  <si>
    <t>NIBAR/NUSP</t>
  </si>
  <si>
    <t>Spesifikasi Nama Barang</t>
  </si>
  <si>
    <t>Jumlah Barang</t>
  </si>
  <si>
    <t>Satuan Barang</t>
  </si>
  <si>
    <t>Sebelum Koreksi</t>
  </si>
  <si>
    <t>Setelah Koreksi</t>
  </si>
  <si>
    <t>Selisih</t>
  </si>
  <si>
    <t>Penyebab Koreksi</t>
  </si>
  <si>
    <t>Dokumen Sumber</t>
  </si>
  <si>
    <t>Keterangan</t>
  </si>
  <si>
    <t>Kode Barang</t>
  </si>
  <si>
    <t>Nama Barang</t>
  </si>
  <si>
    <t>Nilai Perolehan</t>
  </si>
  <si>
    <t>Nilai Akumulasi Penyusutan atau Amortisasi</t>
  </si>
  <si>
    <t>Nilai Buku</t>
  </si>
  <si>
    <t>Nama Dokumen</t>
  </si>
  <si>
    <t>Nomor</t>
  </si>
  <si>
    <t>Tanggal</t>
  </si>
  <si>
    <t>02</t>
  </si>
  <si>
    <t>03</t>
  </si>
  <si>
    <t>1</t>
  </si>
  <si>
    <t>0</t>
  </si>
  <si>
    <t>MOTOR VIAR</t>
  </si>
  <si>
    <t>0002</t>
  </si>
  <si>
    <t>VIAR</t>
  </si>
  <si>
    <t>KESALAHAN PADA SAAT PENGINPUTAN MASA MANFAAT</t>
  </si>
  <si>
    <t>APBD</t>
  </si>
  <si>
    <t xml:space="preserve"> SP2D 12409/SP2D-LSBJ/OTSUS-BG-SILPA-THN-22/1.01.0.00.0.00.01.0000/2023</t>
  </si>
  <si>
    <t xml:space="preserve">Tanggal, 25 September 2023 </t>
  </si>
  <si>
    <t>-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</si>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</sst>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4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1552575</xdr:colOff>
      <xdr:row>17</xdr:row>
      <xdr:rowOff>38099</xdr:rowOff>
    </xdr:from>
    <xdr:to>
      <xdr:col>25</xdr:col>
      <xdr:colOff>502920</xdr:colOff>
      <xdr:row>27</xdr:row>
      <xdr:rowOff>104774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9839160C-3E30-46A9-AFC8-05E1E6CA933B}"/>
            </a:ext>
          </a:extLst>
        </xdr:cNvPr>
        <xdr:cNvSpPr txBox="1"/>
      </xdr:nvSpPr>
      <xdr:spPr>
        <a:xfrm>
          <a:off x="15059025" y="5695949"/>
          <a:ext cx="4474845" cy="1971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/>
            <a:t>AGATS,</a:t>
          </a:r>
          <a:r>
            <a:rPr lang="en-ID" sz="1100" b="1" baseline="0"/>
            <a:t> 30 JUNI 2024</a:t>
          </a:r>
          <a:endParaRPr lang="en-ID" sz="1100" b="1"/>
        </a:p>
        <a:p>
          <a:pPr algn="ctr"/>
          <a:r>
            <a:rPr lang="en-ID" sz="1100" b="1"/>
            <a:t>Pengguna Barang </a:t>
          </a:r>
        </a:p>
        <a:p>
          <a:pPr algn="ctr"/>
          <a:endParaRPr lang="en-ID" sz="1100" b="1"/>
        </a:p>
        <a:p>
          <a:pPr algn="ctr"/>
          <a:endParaRPr lang="en-ID" sz="1100" b="1"/>
        </a:p>
        <a:p>
          <a:pPr algn="ctr"/>
          <a:r>
            <a:rPr lang="en-ID" sz="1100" b="1"/>
            <a:t>Dr. HALASSON F. SINURAT, S.STP, M.Si</a:t>
          </a:r>
        </a:p>
        <a:p>
          <a:pPr algn="ctr"/>
          <a:r>
            <a:rPr lang="en-ID" sz="1100" b="1"/>
            <a:t>NIP.19810824 199912 1 001</a:t>
          </a:r>
        </a:p>
      </xdr:txBody>
    </xdr:sp>
    <xdr:clientData/>
  </xdr:twoCellAnchor>
  <xdr:twoCellAnchor editAs="oneCell">
    <xdr:from>
      <xdr:col>3</xdr:col>
      <xdr:colOff>66675</xdr:colOff>
      <xdr:row>1</xdr:row>
      <xdr:rowOff>104775</xdr:rowOff>
    </xdr:from>
    <xdr:to>
      <xdr:col>7</xdr:col>
      <xdr:colOff>114300</xdr:colOff>
      <xdr:row>5</xdr:row>
      <xdr:rowOff>142875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295275"/>
          <a:ext cx="885825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7"/>
  <sheetViews>
    <sheetView tabSelected="1" topLeftCell="O1" workbookViewId="0">
      <selection activeCell="T26" sqref="T26"/>
    </sheetView>
  </sheetViews>
  <sheetFormatPr defaultRowHeight="15" x14ac:dyDescent="0.25"/>
  <cols>
    <col min="1" max="7" width="3.140625" customWidth="1"/>
    <col min="8" max="8" width="11.140625" customWidth="1"/>
    <col min="9" max="9" width="10.42578125" customWidth="1"/>
    <col min="10" max="10" width="11.7109375" style="3" customWidth="1"/>
    <col min="11" max="11" width="9.140625" style="3"/>
    <col min="12" max="13" width="13.7109375" style="3" bestFit="1" customWidth="1"/>
    <col min="14" max="14" width="16.5703125" style="3" customWidth="1"/>
    <col min="15" max="15" width="13.7109375" style="3" bestFit="1" customWidth="1"/>
    <col min="16" max="16" width="13.28515625" style="3" customWidth="1"/>
    <col min="17" max="17" width="13.7109375" style="3" customWidth="1"/>
    <col min="18" max="19" width="13.7109375" style="3" bestFit="1" customWidth="1"/>
    <col min="20" max="20" width="12.5703125" style="3" bestFit="1" customWidth="1"/>
    <col min="21" max="21" width="13.7109375" style="3" bestFit="1" customWidth="1"/>
    <col min="22" max="22" width="23.85546875" style="3" customWidth="1"/>
    <col min="23" max="23" width="17.28515625" style="3" customWidth="1"/>
    <col min="24" max="24" width="24.42578125" style="3" customWidth="1"/>
    <col min="25" max="25" width="17.28515625" style="3" customWidth="1"/>
    <col min="26" max="26" width="10.85546875" customWidth="1"/>
  </cols>
  <sheetData>
    <row r="2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 t="s">
        <v>38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9" spans="1:26" x14ac:dyDescent="0.25">
      <c r="A9" s="2" t="s">
        <v>4</v>
      </c>
    </row>
    <row r="10" spans="1:26" x14ac:dyDescent="0.25">
      <c r="A10" s="2" t="s">
        <v>5</v>
      </c>
    </row>
    <row r="12" spans="1:26" s="23" customFormat="1" ht="72" customHeight="1" x14ac:dyDescent="0.25">
      <c r="A12" s="20" t="s">
        <v>6</v>
      </c>
      <c r="B12" s="20"/>
      <c r="C12" s="20"/>
      <c r="D12" s="20"/>
      <c r="E12" s="20"/>
      <c r="F12" s="20"/>
      <c r="G12" s="20"/>
      <c r="H12" s="20"/>
      <c r="I12" s="21" t="s">
        <v>7</v>
      </c>
      <c r="J12" s="22" t="s">
        <v>8</v>
      </c>
      <c r="K12" s="22" t="s">
        <v>9</v>
      </c>
      <c r="L12" s="22" t="s">
        <v>10</v>
      </c>
      <c r="M12" s="22" t="s">
        <v>11</v>
      </c>
      <c r="N12" s="22"/>
      <c r="O12" s="22"/>
      <c r="P12" s="22" t="s">
        <v>12</v>
      </c>
      <c r="Q12" s="22"/>
      <c r="R12" s="22"/>
      <c r="S12" s="22" t="s">
        <v>13</v>
      </c>
      <c r="T12" s="22"/>
      <c r="U12" s="22"/>
      <c r="V12" s="22" t="s">
        <v>14</v>
      </c>
      <c r="W12" s="22" t="s">
        <v>15</v>
      </c>
      <c r="X12" s="22"/>
      <c r="Y12" s="22"/>
      <c r="Z12" s="20" t="s">
        <v>16</v>
      </c>
    </row>
    <row r="13" spans="1:26" s="23" customFormat="1" ht="28.9" customHeight="1" x14ac:dyDescent="0.25">
      <c r="A13" s="20" t="s">
        <v>17</v>
      </c>
      <c r="B13" s="20"/>
      <c r="C13" s="20"/>
      <c r="D13" s="20"/>
      <c r="E13" s="20"/>
      <c r="F13" s="20"/>
      <c r="G13" s="20"/>
      <c r="H13" s="21" t="s">
        <v>18</v>
      </c>
      <c r="I13" s="24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0"/>
    </row>
    <row r="14" spans="1:26" s="23" customFormat="1" ht="75" x14ac:dyDescent="0.25">
      <c r="A14" s="20"/>
      <c r="B14" s="20"/>
      <c r="C14" s="20"/>
      <c r="D14" s="20"/>
      <c r="E14" s="20"/>
      <c r="F14" s="20"/>
      <c r="G14" s="20"/>
      <c r="H14" s="25"/>
      <c r="I14" s="25"/>
      <c r="J14" s="22"/>
      <c r="K14" s="22"/>
      <c r="L14" s="22"/>
      <c r="M14" s="26" t="s">
        <v>19</v>
      </c>
      <c r="N14" s="26" t="s">
        <v>20</v>
      </c>
      <c r="O14" s="26" t="s">
        <v>21</v>
      </c>
      <c r="P14" s="26" t="s">
        <v>19</v>
      </c>
      <c r="Q14" s="26" t="s">
        <v>20</v>
      </c>
      <c r="R14" s="26" t="s">
        <v>21</v>
      </c>
      <c r="S14" s="26" t="s">
        <v>19</v>
      </c>
      <c r="T14" s="26" t="s">
        <v>20</v>
      </c>
      <c r="U14" s="26" t="s">
        <v>21</v>
      </c>
      <c r="V14" s="22"/>
      <c r="W14" s="26" t="s">
        <v>22</v>
      </c>
      <c r="X14" s="26" t="s">
        <v>23</v>
      </c>
      <c r="Y14" s="26" t="s">
        <v>24</v>
      </c>
      <c r="Z14" s="20"/>
    </row>
    <row r="15" spans="1:26" x14ac:dyDescent="0.25">
      <c r="A15" s="4">
        <v>1</v>
      </c>
      <c r="B15" s="4"/>
      <c r="C15" s="4"/>
      <c r="D15" s="4"/>
      <c r="E15" s="4"/>
      <c r="F15" s="4"/>
      <c r="G15" s="4"/>
      <c r="H15" s="5">
        <v>2</v>
      </c>
      <c r="I15" s="5">
        <v>3</v>
      </c>
      <c r="J15" s="6">
        <v>4</v>
      </c>
      <c r="K15" s="5">
        <v>5</v>
      </c>
      <c r="L15" s="6">
        <v>6</v>
      </c>
      <c r="M15" s="5">
        <v>7</v>
      </c>
      <c r="N15" s="6">
        <v>8</v>
      </c>
      <c r="O15" s="5">
        <v>9</v>
      </c>
      <c r="P15" s="6">
        <v>10</v>
      </c>
      <c r="Q15" s="5">
        <v>11</v>
      </c>
      <c r="R15" s="6">
        <v>12</v>
      </c>
      <c r="S15" s="5">
        <v>13</v>
      </c>
      <c r="T15" s="6">
        <v>14</v>
      </c>
      <c r="U15" s="5">
        <v>15</v>
      </c>
      <c r="V15" s="6">
        <v>16</v>
      </c>
      <c r="W15" s="5">
        <v>17</v>
      </c>
      <c r="X15" s="6">
        <v>18</v>
      </c>
      <c r="Y15" s="5">
        <v>19</v>
      </c>
      <c r="Z15" s="6">
        <v>20</v>
      </c>
    </row>
    <row r="16" spans="1:26" s="13" customFormat="1" ht="75" x14ac:dyDescent="0.25">
      <c r="A16" s="7" t="s">
        <v>25</v>
      </c>
      <c r="B16" s="7" t="s">
        <v>26</v>
      </c>
      <c r="C16" s="7" t="s">
        <v>26</v>
      </c>
      <c r="D16" s="7" t="s">
        <v>25</v>
      </c>
      <c r="E16" s="7" t="s">
        <v>25</v>
      </c>
      <c r="F16" s="7" t="s">
        <v>27</v>
      </c>
      <c r="G16" s="7" t="s">
        <v>28</v>
      </c>
      <c r="H16" s="8" t="s">
        <v>29</v>
      </c>
      <c r="I16" s="7" t="s">
        <v>30</v>
      </c>
      <c r="J16" s="8" t="s">
        <v>31</v>
      </c>
      <c r="K16" s="8">
        <v>1</v>
      </c>
      <c r="L16" s="9">
        <v>75000000</v>
      </c>
      <c r="M16" s="10">
        <f>L16</f>
        <v>75000000</v>
      </c>
      <c r="N16" s="9">
        <v>7500000</v>
      </c>
      <c r="O16" s="10">
        <f>M16-N16</f>
        <v>67500000</v>
      </c>
      <c r="P16" s="10">
        <v>75000000</v>
      </c>
      <c r="Q16" s="9">
        <v>5000000</v>
      </c>
      <c r="R16" s="10">
        <f>P16-Q16</f>
        <v>70000000</v>
      </c>
      <c r="S16" s="10">
        <f>P16</f>
        <v>75000000</v>
      </c>
      <c r="T16" s="10">
        <f>N16-Q16</f>
        <v>2500000</v>
      </c>
      <c r="U16" s="10">
        <f>S16-T16</f>
        <v>72500000</v>
      </c>
      <c r="V16" s="11" t="s">
        <v>32</v>
      </c>
      <c r="W16" s="8" t="s">
        <v>33</v>
      </c>
      <c r="X16" s="8" t="s">
        <v>34</v>
      </c>
      <c r="Y16" s="8" t="s">
        <v>35</v>
      </c>
      <c r="Z16" s="12" t="s">
        <v>36</v>
      </c>
    </row>
    <row r="17" spans="1:26" s="13" customFormat="1" x14ac:dyDescent="0.25">
      <c r="A17" s="14" t="s">
        <v>37</v>
      </c>
      <c r="B17" s="15"/>
      <c r="C17" s="15"/>
      <c r="D17" s="15"/>
      <c r="E17" s="15"/>
      <c r="F17" s="15"/>
      <c r="G17" s="15"/>
      <c r="H17" s="15"/>
      <c r="I17" s="15"/>
      <c r="J17" s="15"/>
      <c r="K17" s="16"/>
      <c r="L17" s="17">
        <f t="shared" ref="L17:U17" si="0">L16</f>
        <v>75000000</v>
      </c>
      <c r="M17" s="17">
        <f t="shared" si="0"/>
        <v>75000000</v>
      </c>
      <c r="N17" s="17">
        <f t="shared" si="0"/>
        <v>7500000</v>
      </c>
      <c r="O17" s="17">
        <f t="shared" si="0"/>
        <v>67500000</v>
      </c>
      <c r="P17" s="17">
        <f t="shared" si="0"/>
        <v>75000000</v>
      </c>
      <c r="Q17" s="17">
        <f t="shared" si="0"/>
        <v>5000000</v>
      </c>
      <c r="R17" s="17">
        <f t="shared" si="0"/>
        <v>70000000</v>
      </c>
      <c r="S17" s="17">
        <f t="shared" si="0"/>
        <v>75000000</v>
      </c>
      <c r="T17" s="17">
        <f t="shared" si="0"/>
        <v>2500000</v>
      </c>
      <c r="U17" s="17">
        <f t="shared" si="0"/>
        <v>72500000</v>
      </c>
      <c r="V17" s="18"/>
      <c r="W17" s="18"/>
      <c r="X17" s="18"/>
      <c r="Y17" s="18"/>
      <c r="Z17" s="19"/>
    </row>
  </sheetData>
  <mergeCells count="21">
    <mergeCell ref="A15:G15"/>
    <mergeCell ref="A17:K17"/>
    <mergeCell ref="P12:R13"/>
    <mergeCell ref="S12:U13"/>
    <mergeCell ref="V12:V14"/>
    <mergeCell ref="W12:Y13"/>
    <mergeCell ref="Z12:Z14"/>
    <mergeCell ref="A13:G14"/>
    <mergeCell ref="H13:H14"/>
    <mergeCell ref="A12:H12"/>
    <mergeCell ref="I12:I14"/>
    <mergeCell ref="J12:J14"/>
    <mergeCell ref="K12:K14"/>
    <mergeCell ref="L12:L14"/>
    <mergeCell ref="M12:O13"/>
    <mergeCell ref="A2:Z2"/>
    <mergeCell ref="A3:Z3"/>
    <mergeCell ref="A4:Z4"/>
    <mergeCell ref="A5:Z5"/>
    <mergeCell ref="A6:Z6"/>
    <mergeCell ref="A7:Z7"/>
  </mergeCells>
  <pageMargins left="0.7" right="0.7" top="0.75" bottom="0.75" header="0.3" footer="0.3"/>
  <pageSetup paperSize="66" scale="9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IV.G.1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2024-08-13T12:38:56Z</dcterms:created>
  <dcterms:modified xsi:type="dcterms:W3CDTF">2024-08-13T12:39:54Z</dcterms:modified>
</cp:coreProperties>
</file>