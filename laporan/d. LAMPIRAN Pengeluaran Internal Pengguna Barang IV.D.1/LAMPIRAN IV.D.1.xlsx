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13_ncr:1_{ACB5C7AB-5FF6-46BE-9F1A-090F0DD8BC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D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M21" i="1"/>
  <c r="O20" i="1"/>
  <c r="O19" i="1"/>
  <c r="O18" i="1"/>
  <c r="O17" i="1"/>
  <c r="O16" i="1"/>
  <c r="O21" i="1" s="1"/>
</calcChain>
</file>

<file path=xl/sharedStrings.xml><?xml version="1.0" encoding="utf-8"?>
<sst xmlns="http://schemas.openxmlformats.org/spreadsheetml/2006/main" count="87" uniqueCount="38">
  <si>
    <t>KUASA PENGGUNA BARANG  ATAU PENGGUNA BARANG</t>
  </si>
  <si>
    <t>Penggolongan sesuai kodefikasi barang</t>
  </si>
  <si>
    <t>Spesifikasi Nama Barang</t>
  </si>
  <si>
    <t>Jumlah Barang</t>
  </si>
  <si>
    <t>Satuan Barang</t>
  </si>
  <si>
    <t>Total Nilai Barang</t>
  </si>
  <si>
    <t>Nilai Akumulasi Penyusutan atau Amortisasi</t>
  </si>
  <si>
    <t>Nilai Buku</t>
  </si>
  <si>
    <t>Tanggal,Bulan,Tahun Perolehan</t>
  </si>
  <si>
    <t>Cara Perolehan</t>
  </si>
  <si>
    <t>BAST</t>
  </si>
  <si>
    <t>Keterangan</t>
  </si>
  <si>
    <t>Kode Barang</t>
  </si>
  <si>
    <t>Nama Barang</t>
  </si>
  <si>
    <t>Nomor</t>
  </si>
  <si>
    <t>Tanggal</t>
  </si>
  <si>
    <t>Harga Satuan</t>
  </si>
  <si>
    <t xml:space="preserve">LAPORAN PENGELUARAN BMD INTERNAL PENGGUNA BARANG </t>
  </si>
  <si>
    <t>INTRAKOMTABEL</t>
  </si>
  <si>
    <t>Propinsi Papua Selatan</t>
  </si>
  <si>
    <t>Kabupaten Asmat</t>
  </si>
  <si>
    <t>TOTAL</t>
  </si>
  <si>
    <t>02</t>
  </si>
  <si>
    <t>06</t>
  </si>
  <si>
    <t>03</t>
  </si>
  <si>
    <t>04</t>
  </si>
  <si>
    <t>00</t>
  </si>
  <si>
    <t>08</t>
  </si>
  <si>
    <t>01</t>
  </si>
  <si>
    <t>Printer</t>
  </si>
  <si>
    <t>Printer Epson</t>
  </si>
  <si>
    <t>unit</t>
  </si>
  <si>
    <t>KOMPUTER</t>
  </si>
  <si>
    <t>AZUS</t>
  </si>
  <si>
    <t>DAU</t>
  </si>
  <si>
    <t>602/1268.a/SPK/BPKAD/VIII/2024</t>
  </si>
  <si>
    <t>900/291/SP/BPKAD/III/2024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</si>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</sst>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right" vertical="center" wrapText="1"/>
    </xf>
    <xf numFmtId="16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64" fontId="1" fillId="2" borderId="1" xfId="1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22</xdr:row>
      <xdr:rowOff>0</xdr:rowOff>
    </xdr:from>
    <xdr:to>
      <xdr:col>19</xdr:col>
      <xdr:colOff>541020</xdr:colOff>
      <xdr:row>32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578840" y="5669280"/>
          <a:ext cx="6446520" cy="19659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/>
        </a:p>
      </xdr:txBody>
    </xdr:sp>
    <xdr:clientData/>
  </xdr:twoCellAnchor>
  <xdr:twoCellAnchor editAs="oneCell">
    <xdr:from>
      <xdr:col>0</xdr:col>
      <xdr:colOff>190500</xdr:colOff>
      <xdr:row>1</xdr:row>
      <xdr:rowOff>28575</xdr:rowOff>
    </xdr:from>
    <xdr:to>
      <xdr:col>3</xdr:col>
      <xdr:colOff>76200</xdr:colOff>
      <xdr:row>4</xdr:row>
      <xdr:rowOff>180975</xdr:rowOff>
    </xdr:to>
    <xdr:pic>
      <xdr:nvPicPr>
        <xdr:cNvPr id="3" name="Picture 2" descr="asmatyo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1907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21"/>
  <sheetViews>
    <sheetView tabSelected="1" topLeftCell="A16" zoomScale="96" zoomScaleNormal="96" workbookViewId="0">
      <selection activeCell="A5" sqref="A5:T5"/>
    </sheetView>
  </sheetViews>
  <sheetFormatPr defaultRowHeight="15" x14ac:dyDescent="0.25"/>
  <cols>
    <col min="1" max="7" width="4.140625" customWidth="1"/>
    <col min="8" max="8" width="11.42578125" customWidth="1"/>
    <col min="9" max="9" width="16.7109375" style="2" customWidth="1"/>
    <col min="10" max="12" width="8.85546875" style="2"/>
    <col min="13" max="15" width="17.140625" style="2" customWidth="1"/>
    <col min="16" max="16" width="13.7109375" style="2" customWidth="1"/>
    <col min="17" max="17" width="12.7109375" style="2" customWidth="1"/>
    <col min="18" max="18" width="30.5703125" style="2" customWidth="1"/>
    <col min="19" max="19" width="17.28515625" style="2" customWidth="1"/>
    <col min="20" max="20" width="10.85546875" customWidth="1"/>
  </cols>
  <sheetData>
    <row r="2" spans="1:20" x14ac:dyDescent="0.25">
      <c r="A2" s="18" t="s">
        <v>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x14ac:dyDescent="0.25">
      <c r="A3" s="18" t="s">
        <v>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25">
      <c r="A4" s="18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9" spans="1:20" x14ac:dyDescent="0.25">
      <c r="A9" s="1" t="s">
        <v>19</v>
      </c>
    </row>
    <row r="10" spans="1:20" x14ac:dyDescent="0.25">
      <c r="A10" s="1" t="s">
        <v>20</v>
      </c>
    </row>
    <row r="12" spans="1:20" ht="72" customHeight="1" x14ac:dyDescent="0.25">
      <c r="A12" s="16" t="s">
        <v>1</v>
      </c>
      <c r="B12" s="16"/>
      <c r="C12" s="16"/>
      <c r="D12" s="16"/>
      <c r="E12" s="16"/>
      <c r="F12" s="16"/>
      <c r="G12" s="16"/>
      <c r="H12" s="16"/>
      <c r="I12" s="17" t="s">
        <v>2</v>
      </c>
      <c r="J12" s="17" t="s">
        <v>3</v>
      </c>
      <c r="K12" s="17" t="s">
        <v>4</v>
      </c>
      <c r="L12" s="17" t="s">
        <v>16</v>
      </c>
      <c r="M12" s="17" t="s">
        <v>5</v>
      </c>
      <c r="N12" s="17" t="s">
        <v>6</v>
      </c>
      <c r="O12" s="17" t="s">
        <v>7</v>
      </c>
      <c r="P12" s="17" t="s">
        <v>8</v>
      </c>
      <c r="Q12" s="17" t="s">
        <v>9</v>
      </c>
      <c r="R12" s="17" t="s">
        <v>10</v>
      </c>
      <c r="S12" s="17"/>
      <c r="T12" s="16" t="s">
        <v>11</v>
      </c>
    </row>
    <row r="13" spans="1:20" ht="28.9" customHeight="1" x14ac:dyDescent="0.25">
      <c r="A13" s="16" t="s">
        <v>12</v>
      </c>
      <c r="B13" s="16"/>
      <c r="C13" s="16"/>
      <c r="D13" s="16"/>
      <c r="E13" s="16"/>
      <c r="F13" s="16"/>
      <c r="G13" s="16"/>
      <c r="H13" s="17" t="s">
        <v>13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6"/>
    </row>
    <row r="14" spans="1:20" x14ac:dyDescent="0.25">
      <c r="A14" s="16"/>
      <c r="B14" s="16"/>
      <c r="C14" s="16"/>
      <c r="D14" s="16"/>
      <c r="E14" s="16"/>
      <c r="F14" s="16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5" t="s">
        <v>14</v>
      </c>
      <c r="S14" s="15" t="s">
        <v>15</v>
      </c>
      <c r="T14" s="16"/>
    </row>
    <row r="15" spans="1:20" x14ac:dyDescent="0.25">
      <c r="A15" s="16">
        <v>1</v>
      </c>
      <c r="B15" s="16"/>
      <c r="C15" s="16"/>
      <c r="D15" s="16"/>
      <c r="E15" s="16"/>
      <c r="F15" s="16"/>
      <c r="G15" s="16"/>
      <c r="H15" s="14">
        <v>2</v>
      </c>
      <c r="I15" s="15">
        <v>3</v>
      </c>
      <c r="J15" s="14">
        <v>4</v>
      </c>
      <c r="K15" s="15">
        <v>5</v>
      </c>
      <c r="L15" s="14">
        <v>6</v>
      </c>
      <c r="M15" s="15">
        <v>7</v>
      </c>
      <c r="N15" s="14">
        <v>8</v>
      </c>
      <c r="O15" s="15">
        <v>9</v>
      </c>
      <c r="P15" s="14">
        <v>10</v>
      </c>
      <c r="Q15" s="15">
        <v>11</v>
      </c>
      <c r="R15" s="14">
        <v>12</v>
      </c>
      <c r="S15" s="15">
        <v>13</v>
      </c>
      <c r="T15" s="14">
        <v>14</v>
      </c>
    </row>
    <row r="16" spans="1:20" ht="30" x14ac:dyDescent="0.25">
      <c r="A16" s="6" t="s">
        <v>22</v>
      </c>
      <c r="B16" s="6" t="s">
        <v>23</v>
      </c>
      <c r="C16" s="6" t="s">
        <v>24</v>
      </c>
      <c r="D16" s="6" t="s">
        <v>25</v>
      </c>
      <c r="E16" s="6" t="s">
        <v>26</v>
      </c>
      <c r="F16" s="6" t="s">
        <v>27</v>
      </c>
      <c r="G16" s="6" t="s">
        <v>28</v>
      </c>
      <c r="H16" s="7" t="s">
        <v>29</v>
      </c>
      <c r="I16" s="8" t="s">
        <v>30</v>
      </c>
      <c r="J16" s="8">
        <v>1</v>
      </c>
      <c r="K16" s="8" t="s">
        <v>31</v>
      </c>
      <c r="L16" s="9">
        <v>4655000</v>
      </c>
      <c r="M16" s="10">
        <v>4655000</v>
      </c>
      <c r="N16" s="10">
        <v>1163750</v>
      </c>
      <c r="O16" s="11">
        <f>M16-N16</f>
        <v>3491250</v>
      </c>
      <c r="P16" s="12">
        <v>45629</v>
      </c>
      <c r="Q16" s="8" t="s">
        <v>34</v>
      </c>
      <c r="R16" s="8" t="s">
        <v>35</v>
      </c>
      <c r="S16" s="12">
        <v>45629</v>
      </c>
      <c r="T16" s="3" t="s">
        <v>37</v>
      </c>
    </row>
    <row r="17" spans="1:20" ht="30" x14ac:dyDescent="0.25">
      <c r="A17" s="6" t="s">
        <v>22</v>
      </c>
      <c r="B17" s="6" t="s">
        <v>23</v>
      </c>
      <c r="C17" s="6" t="s">
        <v>24</v>
      </c>
      <c r="D17" s="6" t="s">
        <v>25</v>
      </c>
      <c r="E17" s="6" t="s">
        <v>26</v>
      </c>
      <c r="F17" s="6" t="s">
        <v>27</v>
      </c>
      <c r="G17" s="6" t="s">
        <v>28</v>
      </c>
      <c r="H17" s="7" t="s">
        <v>29</v>
      </c>
      <c r="I17" s="8" t="s">
        <v>30</v>
      </c>
      <c r="J17" s="8">
        <v>1</v>
      </c>
      <c r="K17" s="8" t="s">
        <v>31</v>
      </c>
      <c r="L17" s="9">
        <v>4655000</v>
      </c>
      <c r="M17" s="10">
        <v>4655000</v>
      </c>
      <c r="N17" s="10">
        <v>1163750</v>
      </c>
      <c r="O17" s="11">
        <f>M17-N17</f>
        <v>3491250</v>
      </c>
      <c r="P17" s="12">
        <v>45629</v>
      </c>
      <c r="Q17" s="8" t="s">
        <v>34</v>
      </c>
      <c r="R17" s="8" t="s">
        <v>35</v>
      </c>
      <c r="S17" s="12">
        <v>45629</v>
      </c>
      <c r="T17" s="3" t="s">
        <v>37</v>
      </c>
    </row>
    <row r="18" spans="1:20" ht="30" x14ac:dyDescent="0.25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7" t="s">
        <v>29</v>
      </c>
      <c r="I18" s="8" t="s">
        <v>30</v>
      </c>
      <c r="J18" s="8">
        <v>1</v>
      </c>
      <c r="K18" s="8" t="s">
        <v>31</v>
      </c>
      <c r="L18" s="9">
        <v>4655000</v>
      </c>
      <c r="M18" s="10">
        <v>4655000</v>
      </c>
      <c r="N18" s="10">
        <v>1163750</v>
      </c>
      <c r="O18" s="11">
        <f>M18-N18</f>
        <v>3491250</v>
      </c>
      <c r="P18" s="12">
        <v>45629</v>
      </c>
      <c r="Q18" s="8" t="s">
        <v>34</v>
      </c>
      <c r="R18" s="8" t="s">
        <v>35</v>
      </c>
      <c r="S18" s="12">
        <v>45629</v>
      </c>
      <c r="T18" s="3" t="s">
        <v>37</v>
      </c>
    </row>
    <row r="19" spans="1:20" ht="30" x14ac:dyDescent="0.25">
      <c r="A19" s="6" t="s">
        <v>22</v>
      </c>
      <c r="B19" s="6" t="s">
        <v>23</v>
      </c>
      <c r="C19" s="6" t="s">
        <v>24</v>
      </c>
      <c r="D19" s="6" t="s">
        <v>25</v>
      </c>
      <c r="E19" s="6" t="s">
        <v>26</v>
      </c>
      <c r="F19" s="6" t="s">
        <v>27</v>
      </c>
      <c r="G19" s="6" t="s">
        <v>28</v>
      </c>
      <c r="H19" s="7" t="s">
        <v>29</v>
      </c>
      <c r="I19" s="8" t="s">
        <v>30</v>
      </c>
      <c r="J19" s="8">
        <v>1</v>
      </c>
      <c r="K19" s="8" t="s">
        <v>31</v>
      </c>
      <c r="L19" s="9">
        <v>13500000</v>
      </c>
      <c r="M19" s="10">
        <v>13500000</v>
      </c>
      <c r="N19" s="10">
        <v>3375000</v>
      </c>
      <c r="O19" s="11">
        <f>M19-N19</f>
        <v>10125000</v>
      </c>
      <c r="P19" s="12">
        <v>45629</v>
      </c>
      <c r="Q19" s="8" t="s">
        <v>34</v>
      </c>
      <c r="R19" s="8" t="s">
        <v>35</v>
      </c>
      <c r="S19" s="12">
        <v>45629</v>
      </c>
      <c r="T19" s="3" t="s">
        <v>37</v>
      </c>
    </row>
    <row r="20" spans="1:20" x14ac:dyDescent="0.25">
      <c r="A20" s="6" t="s">
        <v>22</v>
      </c>
      <c r="B20" s="6" t="s">
        <v>23</v>
      </c>
      <c r="C20" s="6" t="s">
        <v>24</v>
      </c>
      <c r="D20" s="6" t="s">
        <v>25</v>
      </c>
      <c r="E20" s="6" t="s">
        <v>26</v>
      </c>
      <c r="F20" s="6" t="s">
        <v>27</v>
      </c>
      <c r="G20" s="6" t="s">
        <v>22</v>
      </c>
      <c r="H20" s="7" t="s">
        <v>32</v>
      </c>
      <c r="I20" s="8" t="s">
        <v>33</v>
      </c>
      <c r="J20" s="8">
        <v>1</v>
      </c>
      <c r="K20" s="8" t="s">
        <v>31</v>
      </c>
      <c r="L20" s="9">
        <v>16413350</v>
      </c>
      <c r="M20" s="10">
        <v>16413350</v>
      </c>
      <c r="N20" s="10">
        <v>4103337.5</v>
      </c>
      <c r="O20" s="11">
        <f>M20-N20</f>
        <v>12310012.5</v>
      </c>
      <c r="P20" s="12">
        <v>45629</v>
      </c>
      <c r="Q20" s="8" t="s">
        <v>34</v>
      </c>
      <c r="R20" s="8" t="s">
        <v>36</v>
      </c>
      <c r="S20" s="12">
        <v>45629</v>
      </c>
      <c r="T20" s="3" t="s">
        <v>37</v>
      </c>
    </row>
    <row r="21" spans="1:20" x14ac:dyDescent="0.25">
      <c r="A21" s="19" t="s">
        <v>21</v>
      </c>
      <c r="B21" s="19"/>
      <c r="C21" s="19"/>
      <c r="D21" s="19"/>
      <c r="E21" s="19"/>
      <c r="F21" s="19"/>
      <c r="G21" s="19"/>
      <c r="H21" s="19"/>
      <c r="I21" s="19"/>
      <c r="J21" s="4"/>
      <c r="K21" s="4"/>
      <c r="L21" s="4"/>
      <c r="M21" s="13">
        <f>SUBTOTAL(9,M16:M20)</f>
        <v>43878350</v>
      </c>
      <c r="N21" s="13">
        <f t="shared" ref="N21:O21" si="0">SUBTOTAL(9,N16:N20)</f>
        <v>10969587.5</v>
      </c>
      <c r="O21" s="13">
        <f t="shared" si="0"/>
        <v>32908762.5</v>
      </c>
      <c r="P21" s="4"/>
      <c r="Q21" s="4"/>
      <c r="R21" s="4"/>
      <c r="S21" s="4"/>
      <c r="T21" s="5"/>
    </row>
  </sheetData>
  <mergeCells count="22">
    <mergeCell ref="A7:T7"/>
    <mergeCell ref="A21:I21"/>
    <mergeCell ref="A2:T2"/>
    <mergeCell ref="A3:T3"/>
    <mergeCell ref="A4:T4"/>
    <mergeCell ref="A5:T5"/>
    <mergeCell ref="A6:T6"/>
    <mergeCell ref="R12:S13"/>
    <mergeCell ref="T12:T14"/>
    <mergeCell ref="A13:G14"/>
    <mergeCell ref="H13:H14"/>
    <mergeCell ref="A15:G15"/>
    <mergeCell ref="L12:L14"/>
    <mergeCell ref="M12:M14"/>
    <mergeCell ref="N12:N14"/>
    <mergeCell ref="O12:O14"/>
    <mergeCell ref="P12:P14"/>
    <mergeCell ref="Q12:Q14"/>
    <mergeCell ref="A12:H12"/>
    <mergeCell ref="I12:I14"/>
    <mergeCell ref="J12:J14"/>
    <mergeCell ref="K12:K14"/>
  </mergeCells>
  <pageMargins left="0.7" right="0.7" top="0.75" bottom="0.75" header="0.3" footer="0.3"/>
  <pageSetup scale="55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IV.D.1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 Jatmiko</dc:creator>
  <cp:lastModifiedBy>Riski Riski</cp:lastModifiedBy>
  <cp:lastPrinted>2024-08-19T07:45:49Z</cp:lastPrinted>
  <dcterms:created xsi:type="dcterms:W3CDTF">2024-05-07T07:50:28Z</dcterms:created>
  <dcterms:modified xsi:type="dcterms:W3CDTF">2024-08-19T07:46:19Z</dcterms:modified>
</cp:coreProperties>
</file>