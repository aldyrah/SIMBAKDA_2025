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8_{046650D9-EC95-480E-9934-8601DC6CECFC}" xr6:coauthVersionLast="47" xr6:coauthVersionMax="47" xr10:uidLastSave="{00000000-0000-0000-0000-000000000000}"/>
  <bookViews>
    <workbookView xWindow="-120" yWindow="-120" windowWidth="20730" windowHeight="11160" xr2:uid="{1E3F45A0-E380-49DC-B494-E9894C901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22" i="1"/>
  <c r="F21" i="1"/>
  <c r="E21" i="1"/>
  <c r="F13" i="1"/>
  <c r="E13" i="1"/>
</calcChain>
</file>

<file path=xl/sharedStrings.xml><?xml version="1.0" encoding="utf-8"?>
<sst xmlns="http://schemas.openxmlformats.org/spreadsheetml/2006/main" count="37" uniqueCount="37">
  <si>
    <t>LAPORAN BMD</t>
  </si>
  <si>
    <t xml:space="preserve">INTRAKOMPTABLE/EKSTRAKOMPTABLE </t>
  </si>
  <si>
    <t>KABUPATEN ASMAT</t>
  </si>
  <si>
    <t>SEMESTER PERTAMA</t>
  </si>
  <si>
    <t>TAHUN 2024</t>
  </si>
  <si>
    <t>Penggolongan dan Kodefikasi Barang</t>
  </si>
  <si>
    <t>JUMLAH BMD</t>
  </si>
  <si>
    <t>SALDO AKHIR (Rp)</t>
  </si>
  <si>
    <t>Kode Barang</t>
  </si>
  <si>
    <t>Nama Barang</t>
  </si>
  <si>
    <t>(5)</t>
  </si>
  <si>
    <t>(6)</t>
  </si>
  <si>
    <t>(7)</t>
  </si>
  <si>
    <t>(8)</t>
  </si>
  <si>
    <t>Persediaan</t>
  </si>
  <si>
    <t>Aset Tetap</t>
  </si>
  <si>
    <t>Tanah</t>
  </si>
  <si>
    <t>Peralatan dan Mesin</t>
  </si>
  <si>
    <t>Gedung dan Bangunan</t>
  </si>
  <si>
    <t>Jalan, Jaringan dan Irigasi</t>
  </si>
  <si>
    <t>Aset Tetap Lainnya</t>
  </si>
  <si>
    <t>Konstruksi Dalam Pengerjaan</t>
  </si>
  <si>
    <t>Akumulasi Penyusutan</t>
  </si>
  <si>
    <t>Aset Lainnya</t>
  </si>
  <si>
    <t>Kemitraan Pihak Ketiga</t>
  </si>
  <si>
    <t>Aset Tidak Berwujud</t>
  </si>
  <si>
    <t>Aset Lain-lain</t>
  </si>
  <si>
    <t>Akumulasi Amortisasi Aset Tidak Berwujud</t>
  </si>
  <si>
    <t>Akumulasi Penyusutan Aset Lainnya</t>
  </si>
  <si>
    <t>Agats, 30 JUNI 2024</t>
  </si>
  <si>
    <t>Mengetahui</t>
  </si>
  <si>
    <t>Pejabat Penatausahaan Barang</t>
  </si>
  <si>
    <t>Pengelola Barang</t>
  </si>
  <si>
    <t>Dr. HALASSON F. SINURAT, S.STP, M.Si</t>
  </si>
  <si>
    <t>REDI AGUS JAFDAS</t>
  </si>
  <si>
    <t>NIP. 19810824 199912 1 001</t>
  </si>
  <si>
    <t>Nip.198001052010041001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</si>
</sst>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/>
    <xf numFmtId="0" fontId="2" fillId="0" borderId="0" xfId="0" applyFont="1"/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66675</xdr:rowOff>
    </xdr:from>
    <xdr:to>
      <xdr:col>1</xdr:col>
      <xdr:colOff>333375</xdr:colOff>
      <xdr:row>4</xdr:row>
      <xdr:rowOff>133350</xdr:rowOff>
    </xdr:to>
    <xdr:pic>
      <xdr:nvPicPr>
        <xdr:cNvPr id="2" name="Picture 1" descr="asmat.bmp">
          <a:extLst>
            <a:ext uri="{FF2B5EF4-FFF2-40B4-BE49-F238E27FC236}">
              <a16:creationId xmlns:a16="http://schemas.microsoft.com/office/drawing/2014/main" id="{73BEF218-EA57-43BD-9D12-1F14E82FD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28600"/>
          <a:ext cx="6762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3EF5-BF7D-43B0-AF91-53D06836E058}">
  <dimension ref="A2:F35"/>
  <sheetViews>
    <sheetView tabSelected="1" topLeftCell="A4" zoomScaleNormal="100" workbookViewId="0">
      <selection activeCell="D14" sqref="D14"/>
    </sheetView>
  </sheetViews>
  <sheetFormatPr defaultRowHeight="12.75" x14ac:dyDescent="0.2"/>
  <cols>
    <col min="1" max="3" width="9.140625" style="3"/>
    <col min="4" max="4" width="61.140625" style="2" customWidth="1"/>
    <col min="5" max="5" width="13.5703125" style="4" customWidth="1"/>
    <col min="6" max="6" width="26.85546875" style="2" bestFit="1" customWidth="1"/>
    <col min="7" max="259" width="9.140625" style="2"/>
    <col min="260" max="260" width="61.140625" style="2" customWidth="1"/>
    <col min="261" max="261" width="13.5703125" style="2" customWidth="1"/>
    <col min="262" max="262" width="26.85546875" style="2" bestFit="1" customWidth="1"/>
    <col min="263" max="515" width="9.140625" style="2"/>
    <col min="516" max="516" width="61.140625" style="2" customWidth="1"/>
    <col min="517" max="517" width="13.5703125" style="2" customWidth="1"/>
    <col min="518" max="518" width="26.85546875" style="2" bestFit="1" customWidth="1"/>
    <col min="519" max="771" width="9.140625" style="2"/>
    <col min="772" max="772" width="61.140625" style="2" customWidth="1"/>
    <col min="773" max="773" width="13.5703125" style="2" customWidth="1"/>
    <col min="774" max="774" width="26.85546875" style="2" bestFit="1" customWidth="1"/>
    <col min="775" max="1027" width="9.140625" style="2"/>
    <col min="1028" max="1028" width="61.140625" style="2" customWidth="1"/>
    <col min="1029" max="1029" width="13.5703125" style="2" customWidth="1"/>
    <col min="1030" max="1030" width="26.85546875" style="2" bestFit="1" customWidth="1"/>
    <col min="1031" max="1283" width="9.140625" style="2"/>
    <col min="1284" max="1284" width="61.140625" style="2" customWidth="1"/>
    <col min="1285" max="1285" width="13.5703125" style="2" customWidth="1"/>
    <col min="1286" max="1286" width="26.85546875" style="2" bestFit="1" customWidth="1"/>
    <col min="1287" max="1539" width="9.140625" style="2"/>
    <col min="1540" max="1540" width="61.140625" style="2" customWidth="1"/>
    <col min="1541" max="1541" width="13.5703125" style="2" customWidth="1"/>
    <col min="1542" max="1542" width="26.85546875" style="2" bestFit="1" customWidth="1"/>
    <col min="1543" max="1795" width="9.140625" style="2"/>
    <col min="1796" max="1796" width="61.140625" style="2" customWidth="1"/>
    <col min="1797" max="1797" width="13.5703125" style="2" customWidth="1"/>
    <col min="1798" max="1798" width="26.85546875" style="2" bestFit="1" customWidth="1"/>
    <col min="1799" max="2051" width="9.140625" style="2"/>
    <col min="2052" max="2052" width="61.140625" style="2" customWidth="1"/>
    <col min="2053" max="2053" width="13.5703125" style="2" customWidth="1"/>
    <col min="2054" max="2054" width="26.85546875" style="2" bestFit="1" customWidth="1"/>
    <col min="2055" max="2307" width="9.140625" style="2"/>
    <col min="2308" max="2308" width="61.140625" style="2" customWidth="1"/>
    <col min="2309" max="2309" width="13.5703125" style="2" customWidth="1"/>
    <col min="2310" max="2310" width="26.85546875" style="2" bestFit="1" customWidth="1"/>
    <col min="2311" max="2563" width="9.140625" style="2"/>
    <col min="2564" max="2564" width="61.140625" style="2" customWidth="1"/>
    <col min="2565" max="2565" width="13.5703125" style="2" customWidth="1"/>
    <col min="2566" max="2566" width="26.85546875" style="2" bestFit="1" customWidth="1"/>
    <col min="2567" max="2819" width="9.140625" style="2"/>
    <col min="2820" max="2820" width="61.140625" style="2" customWidth="1"/>
    <col min="2821" max="2821" width="13.5703125" style="2" customWidth="1"/>
    <col min="2822" max="2822" width="26.85546875" style="2" bestFit="1" customWidth="1"/>
    <col min="2823" max="3075" width="9.140625" style="2"/>
    <col min="3076" max="3076" width="61.140625" style="2" customWidth="1"/>
    <col min="3077" max="3077" width="13.5703125" style="2" customWidth="1"/>
    <col min="3078" max="3078" width="26.85546875" style="2" bestFit="1" customWidth="1"/>
    <col min="3079" max="3331" width="9.140625" style="2"/>
    <col min="3332" max="3332" width="61.140625" style="2" customWidth="1"/>
    <col min="3333" max="3333" width="13.5703125" style="2" customWidth="1"/>
    <col min="3334" max="3334" width="26.85546875" style="2" bestFit="1" customWidth="1"/>
    <col min="3335" max="3587" width="9.140625" style="2"/>
    <col min="3588" max="3588" width="61.140625" style="2" customWidth="1"/>
    <col min="3589" max="3589" width="13.5703125" style="2" customWidth="1"/>
    <col min="3590" max="3590" width="26.85546875" style="2" bestFit="1" customWidth="1"/>
    <col min="3591" max="3843" width="9.140625" style="2"/>
    <col min="3844" max="3844" width="61.140625" style="2" customWidth="1"/>
    <col min="3845" max="3845" width="13.5703125" style="2" customWidth="1"/>
    <col min="3846" max="3846" width="26.85546875" style="2" bestFit="1" customWidth="1"/>
    <col min="3847" max="4099" width="9.140625" style="2"/>
    <col min="4100" max="4100" width="61.140625" style="2" customWidth="1"/>
    <col min="4101" max="4101" width="13.5703125" style="2" customWidth="1"/>
    <col min="4102" max="4102" width="26.85546875" style="2" bestFit="1" customWidth="1"/>
    <col min="4103" max="4355" width="9.140625" style="2"/>
    <col min="4356" max="4356" width="61.140625" style="2" customWidth="1"/>
    <col min="4357" max="4357" width="13.5703125" style="2" customWidth="1"/>
    <col min="4358" max="4358" width="26.85546875" style="2" bestFit="1" customWidth="1"/>
    <col min="4359" max="4611" width="9.140625" style="2"/>
    <col min="4612" max="4612" width="61.140625" style="2" customWidth="1"/>
    <col min="4613" max="4613" width="13.5703125" style="2" customWidth="1"/>
    <col min="4614" max="4614" width="26.85546875" style="2" bestFit="1" customWidth="1"/>
    <col min="4615" max="4867" width="9.140625" style="2"/>
    <col min="4868" max="4868" width="61.140625" style="2" customWidth="1"/>
    <col min="4869" max="4869" width="13.5703125" style="2" customWidth="1"/>
    <col min="4870" max="4870" width="26.85546875" style="2" bestFit="1" customWidth="1"/>
    <col min="4871" max="5123" width="9.140625" style="2"/>
    <col min="5124" max="5124" width="61.140625" style="2" customWidth="1"/>
    <col min="5125" max="5125" width="13.5703125" style="2" customWidth="1"/>
    <col min="5126" max="5126" width="26.85546875" style="2" bestFit="1" customWidth="1"/>
    <col min="5127" max="5379" width="9.140625" style="2"/>
    <col min="5380" max="5380" width="61.140625" style="2" customWidth="1"/>
    <col min="5381" max="5381" width="13.5703125" style="2" customWidth="1"/>
    <col min="5382" max="5382" width="26.85546875" style="2" bestFit="1" customWidth="1"/>
    <col min="5383" max="5635" width="9.140625" style="2"/>
    <col min="5636" max="5636" width="61.140625" style="2" customWidth="1"/>
    <col min="5637" max="5637" width="13.5703125" style="2" customWidth="1"/>
    <col min="5638" max="5638" width="26.85546875" style="2" bestFit="1" customWidth="1"/>
    <col min="5639" max="5891" width="9.140625" style="2"/>
    <col min="5892" max="5892" width="61.140625" style="2" customWidth="1"/>
    <col min="5893" max="5893" width="13.5703125" style="2" customWidth="1"/>
    <col min="5894" max="5894" width="26.85546875" style="2" bestFit="1" customWidth="1"/>
    <col min="5895" max="6147" width="9.140625" style="2"/>
    <col min="6148" max="6148" width="61.140625" style="2" customWidth="1"/>
    <col min="6149" max="6149" width="13.5703125" style="2" customWidth="1"/>
    <col min="6150" max="6150" width="26.85546875" style="2" bestFit="1" customWidth="1"/>
    <col min="6151" max="6403" width="9.140625" style="2"/>
    <col min="6404" max="6404" width="61.140625" style="2" customWidth="1"/>
    <col min="6405" max="6405" width="13.5703125" style="2" customWidth="1"/>
    <col min="6406" max="6406" width="26.85546875" style="2" bestFit="1" customWidth="1"/>
    <col min="6407" max="6659" width="9.140625" style="2"/>
    <col min="6660" max="6660" width="61.140625" style="2" customWidth="1"/>
    <col min="6661" max="6661" width="13.5703125" style="2" customWidth="1"/>
    <col min="6662" max="6662" width="26.85546875" style="2" bestFit="1" customWidth="1"/>
    <col min="6663" max="6915" width="9.140625" style="2"/>
    <col min="6916" max="6916" width="61.140625" style="2" customWidth="1"/>
    <col min="6917" max="6917" width="13.5703125" style="2" customWidth="1"/>
    <col min="6918" max="6918" width="26.85546875" style="2" bestFit="1" customWidth="1"/>
    <col min="6919" max="7171" width="9.140625" style="2"/>
    <col min="7172" max="7172" width="61.140625" style="2" customWidth="1"/>
    <col min="7173" max="7173" width="13.5703125" style="2" customWidth="1"/>
    <col min="7174" max="7174" width="26.85546875" style="2" bestFit="1" customWidth="1"/>
    <col min="7175" max="7427" width="9.140625" style="2"/>
    <col min="7428" max="7428" width="61.140625" style="2" customWidth="1"/>
    <col min="7429" max="7429" width="13.5703125" style="2" customWidth="1"/>
    <col min="7430" max="7430" width="26.85546875" style="2" bestFit="1" customWidth="1"/>
    <col min="7431" max="7683" width="9.140625" style="2"/>
    <col min="7684" max="7684" width="61.140625" style="2" customWidth="1"/>
    <col min="7685" max="7685" width="13.5703125" style="2" customWidth="1"/>
    <col min="7686" max="7686" width="26.85546875" style="2" bestFit="1" customWidth="1"/>
    <col min="7687" max="7939" width="9.140625" style="2"/>
    <col min="7940" max="7940" width="61.140625" style="2" customWidth="1"/>
    <col min="7941" max="7941" width="13.5703125" style="2" customWidth="1"/>
    <col min="7942" max="7942" width="26.85546875" style="2" bestFit="1" customWidth="1"/>
    <col min="7943" max="8195" width="9.140625" style="2"/>
    <col min="8196" max="8196" width="61.140625" style="2" customWidth="1"/>
    <col min="8197" max="8197" width="13.5703125" style="2" customWidth="1"/>
    <col min="8198" max="8198" width="26.85546875" style="2" bestFit="1" customWidth="1"/>
    <col min="8199" max="8451" width="9.140625" style="2"/>
    <col min="8452" max="8452" width="61.140625" style="2" customWidth="1"/>
    <col min="8453" max="8453" width="13.5703125" style="2" customWidth="1"/>
    <col min="8454" max="8454" width="26.85546875" style="2" bestFit="1" customWidth="1"/>
    <col min="8455" max="8707" width="9.140625" style="2"/>
    <col min="8708" max="8708" width="61.140625" style="2" customWidth="1"/>
    <col min="8709" max="8709" width="13.5703125" style="2" customWidth="1"/>
    <col min="8710" max="8710" width="26.85546875" style="2" bestFit="1" customWidth="1"/>
    <col min="8711" max="8963" width="9.140625" style="2"/>
    <col min="8964" max="8964" width="61.140625" style="2" customWidth="1"/>
    <col min="8965" max="8965" width="13.5703125" style="2" customWidth="1"/>
    <col min="8966" max="8966" width="26.85546875" style="2" bestFit="1" customWidth="1"/>
    <col min="8967" max="9219" width="9.140625" style="2"/>
    <col min="9220" max="9220" width="61.140625" style="2" customWidth="1"/>
    <col min="9221" max="9221" width="13.5703125" style="2" customWidth="1"/>
    <col min="9222" max="9222" width="26.85546875" style="2" bestFit="1" customWidth="1"/>
    <col min="9223" max="9475" width="9.140625" style="2"/>
    <col min="9476" max="9476" width="61.140625" style="2" customWidth="1"/>
    <col min="9477" max="9477" width="13.5703125" style="2" customWidth="1"/>
    <col min="9478" max="9478" width="26.85546875" style="2" bestFit="1" customWidth="1"/>
    <col min="9479" max="9731" width="9.140625" style="2"/>
    <col min="9732" max="9732" width="61.140625" style="2" customWidth="1"/>
    <col min="9733" max="9733" width="13.5703125" style="2" customWidth="1"/>
    <col min="9734" max="9734" width="26.85546875" style="2" bestFit="1" customWidth="1"/>
    <col min="9735" max="9987" width="9.140625" style="2"/>
    <col min="9988" max="9988" width="61.140625" style="2" customWidth="1"/>
    <col min="9989" max="9989" width="13.5703125" style="2" customWidth="1"/>
    <col min="9990" max="9990" width="26.85546875" style="2" bestFit="1" customWidth="1"/>
    <col min="9991" max="10243" width="9.140625" style="2"/>
    <col min="10244" max="10244" width="61.140625" style="2" customWidth="1"/>
    <col min="10245" max="10245" width="13.5703125" style="2" customWidth="1"/>
    <col min="10246" max="10246" width="26.85546875" style="2" bestFit="1" customWidth="1"/>
    <col min="10247" max="10499" width="9.140625" style="2"/>
    <col min="10500" max="10500" width="61.140625" style="2" customWidth="1"/>
    <col min="10501" max="10501" width="13.5703125" style="2" customWidth="1"/>
    <col min="10502" max="10502" width="26.85546875" style="2" bestFit="1" customWidth="1"/>
    <col min="10503" max="10755" width="9.140625" style="2"/>
    <col min="10756" max="10756" width="61.140625" style="2" customWidth="1"/>
    <col min="10757" max="10757" width="13.5703125" style="2" customWidth="1"/>
    <col min="10758" max="10758" width="26.85546875" style="2" bestFit="1" customWidth="1"/>
    <col min="10759" max="11011" width="9.140625" style="2"/>
    <col min="11012" max="11012" width="61.140625" style="2" customWidth="1"/>
    <col min="11013" max="11013" width="13.5703125" style="2" customWidth="1"/>
    <col min="11014" max="11014" width="26.85546875" style="2" bestFit="1" customWidth="1"/>
    <col min="11015" max="11267" width="9.140625" style="2"/>
    <col min="11268" max="11268" width="61.140625" style="2" customWidth="1"/>
    <col min="11269" max="11269" width="13.5703125" style="2" customWidth="1"/>
    <col min="11270" max="11270" width="26.85546875" style="2" bestFit="1" customWidth="1"/>
    <col min="11271" max="11523" width="9.140625" style="2"/>
    <col min="11524" max="11524" width="61.140625" style="2" customWidth="1"/>
    <col min="11525" max="11525" width="13.5703125" style="2" customWidth="1"/>
    <col min="11526" max="11526" width="26.85546875" style="2" bestFit="1" customWidth="1"/>
    <col min="11527" max="11779" width="9.140625" style="2"/>
    <col min="11780" max="11780" width="61.140625" style="2" customWidth="1"/>
    <col min="11781" max="11781" width="13.5703125" style="2" customWidth="1"/>
    <col min="11782" max="11782" width="26.85546875" style="2" bestFit="1" customWidth="1"/>
    <col min="11783" max="12035" width="9.140625" style="2"/>
    <col min="12036" max="12036" width="61.140625" style="2" customWidth="1"/>
    <col min="12037" max="12037" width="13.5703125" style="2" customWidth="1"/>
    <col min="12038" max="12038" width="26.85546875" style="2" bestFit="1" customWidth="1"/>
    <col min="12039" max="12291" width="9.140625" style="2"/>
    <col min="12292" max="12292" width="61.140625" style="2" customWidth="1"/>
    <col min="12293" max="12293" width="13.5703125" style="2" customWidth="1"/>
    <col min="12294" max="12294" width="26.85546875" style="2" bestFit="1" customWidth="1"/>
    <col min="12295" max="12547" width="9.140625" style="2"/>
    <col min="12548" max="12548" width="61.140625" style="2" customWidth="1"/>
    <col min="12549" max="12549" width="13.5703125" style="2" customWidth="1"/>
    <col min="12550" max="12550" width="26.85546875" style="2" bestFit="1" customWidth="1"/>
    <col min="12551" max="12803" width="9.140625" style="2"/>
    <col min="12804" max="12804" width="61.140625" style="2" customWidth="1"/>
    <col min="12805" max="12805" width="13.5703125" style="2" customWidth="1"/>
    <col min="12806" max="12806" width="26.85546875" style="2" bestFit="1" customWidth="1"/>
    <col min="12807" max="13059" width="9.140625" style="2"/>
    <col min="13060" max="13060" width="61.140625" style="2" customWidth="1"/>
    <col min="13061" max="13061" width="13.5703125" style="2" customWidth="1"/>
    <col min="13062" max="13062" width="26.85546875" style="2" bestFit="1" customWidth="1"/>
    <col min="13063" max="13315" width="9.140625" style="2"/>
    <col min="13316" max="13316" width="61.140625" style="2" customWidth="1"/>
    <col min="13317" max="13317" width="13.5703125" style="2" customWidth="1"/>
    <col min="13318" max="13318" width="26.85546875" style="2" bestFit="1" customWidth="1"/>
    <col min="13319" max="13571" width="9.140625" style="2"/>
    <col min="13572" max="13572" width="61.140625" style="2" customWidth="1"/>
    <col min="13573" max="13573" width="13.5703125" style="2" customWidth="1"/>
    <col min="13574" max="13574" width="26.85546875" style="2" bestFit="1" customWidth="1"/>
    <col min="13575" max="13827" width="9.140625" style="2"/>
    <col min="13828" max="13828" width="61.140625" style="2" customWidth="1"/>
    <col min="13829" max="13829" width="13.5703125" style="2" customWidth="1"/>
    <col min="13830" max="13830" width="26.85546875" style="2" bestFit="1" customWidth="1"/>
    <col min="13831" max="14083" width="9.140625" style="2"/>
    <col min="14084" max="14084" width="61.140625" style="2" customWidth="1"/>
    <col min="14085" max="14085" width="13.5703125" style="2" customWidth="1"/>
    <col min="14086" max="14086" width="26.85546875" style="2" bestFit="1" customWidth="1"/>
    <col min="14087" max="14339" width="9.140625" style="2"/>
    <col min="14340" max="14340" width="61.140625" style="2" customWidth="1"/>
    <col min="14341" max="14341" width="13.5703125" style="2" customWidth="1"/>
    <col min="14342" max="14342" width="26.85546875" style="2" bestFit="1" customWidth="1"/>
    <col min="14343" max="14595" width="9.140625" style="2"/>
    <col min="14596" max="14596" width="61.140625" style="2" customWidth="1"/>
    <col min="14597" max="14597" width="13.5703125" style="2" customWidth="1"/>
    <col min="14598" max="14598" width="26.85546875" style="2" bestFit="1" customWidth="1"/>
    <col min="14599" max="14851" width="9.140625" style="2"/>
    <col min="14852" max="14852" width="61.140625" style="2" customWidth="1"/>
    <col min="14853" max="14853" width="13.5703125" style="2" customWidth="1"/>
    <col min="14854" max="14854" width="26.85546875" style="2" bestFit="1" customWidth="1"/>
    <col min="14855" max="15107" width="9.140625" style="2"/>
    <col min="15108" max="15108" width="61.140625" style="2" customWidth="1"/>
    <col min="15109" max="15109" width="13.5703125" style="2" customWidth="1"/>
    <col min="15110" max="15110" width="26.85546875" style="2" bestFit="1" customWidth="1"/>
    <col min="15111" max="15363" width="9.140625" style="2"/>
    <col min="15364" max="15364" width="61.140625" style="2" customWidth="1"/>
    <col min="15365" max="15365" width="13.5703125" style="2" customWidth="1"/>
    <col min="15366" max="15366" width="26.85546875" style="2" bestFit="1" customWidth="1"/>
    <col min="15367" max="15619" width="9.140625" style="2"/>
    <col min="15620" max="15620" width="61.140625" style="2" customWidth="1"/>
    <col min="15621" max="15621" width="13.5703125" style="2" customWidth="1"/>
    <col min="15622" max="15622" width="26.85546875" style="2" bestFit="1" customWidth="1"/>
    <col min="15623" max="15875" width="9.140625" style="2"/>
    <col min="15876" max="15876" width="61.140625" style="2" customWidth="1"/>
    <col min="15877" max="15877" width="13.5703125" style="2" customWidth="1"/>
    <col min="15878" max="15878" width="26.85546875" style="2" bestFit="1" customWidth="1"/>
    <col min="15879" max="16131" width="9.140625" style="2"/>
    <col min="16132" max="16132" width="61.140625" style="2" customWidth="1"/>
    <col min="16133" max="16133" width="13.5703125" style="2" customWidth="1"/>
    <col min="16134" max="16134" width="26.85546875" style="2" bestFit="1" customWidth="1"/>
    <col min="16135" max="16384" width="9.140625" style="2"/>
  </cols>
  <sheetData>
    <row r="2" spans="1:6" x14ac:dyDescent="0.2">
      <c r="A2" s="1" t="s">
        <v>0</v>
      </c>
      <c r="B2" s="1"/>
      <c r="C2" s="1"/>
      <c r="D2" s="1"/>
      <c r="E2" s="1"/>
      <c r="F2" s="1"/>
    </row>
    <row r="3" spans="1:6" x14ac:dyDescent="0.2">
      <c r="A3" s="1" t="s">
        <v>1</v>
      </c>
      <c r="B3" s="1"/>
      <c r="C3" s="1"/>
      <c r="D3" s="1"/>
      <c r="E3" s="1"/>
      <c r="F3" s="1"/>
    </row>
    <row r="4" spans="1:6" x14ac:dyDescent="0.2">
      <c r="A4" s="1" t="s">
        <v>2</v>
      </c>
      <c r="B4" s="1"/>
      <c r="C4" s="1"/>
      <c r="D4" s="1"/>
      <c r="E4" s="1"/>
      <c r="F4" s="1"/>
    </row>
    <row r="5" spans="1:6" x14ac:dyDescent="0.2">
      <c r="A5" s="1" t="s">
        <v>3</v>
      </c>
      <c r="B5" s="1"/>
      <c r="C5" s="1"/>
      <c r="D5" s="1"/>
      <c r="E5" s="1"/>
      <c r="F5" s="1"/>
    </row>
    <row r="6" spans="1:6" x14ac:dyDescent="0.2">
      <c r="A6" s="1" t="s">
        <v>4</v>
      </c>
      <c r="B6" s="1"/>
      <c r="C6" s="1"/>
      <c r="D6" s="1"/>
      <c r="E6" s="1"/>
      <c r="F6" s="1"/>
    </row>
    <row r="8" spans="1:6" x14ac:dyDescent="0.2">
      <c r="A8" s="5" t="s">
        <v>5</v>
      </c>
      <c r="B8" s="5"/>
      <c r="C8" s="5"/>
      <c r="D8" s="5"/>
      <c r="E8" s="6" t="s">
        <v>6</v>
      </c>
      <c r="F8" s="6" t="s">
        <v>7</v>
      </c>
    </row>
    <row r="9" spans="1:6" x14ac:dyDescent="0.2">
      <c r="A9" s="5" t="s">
        <v>8</v>
      </c>
      <c r="B9" s="5"/>
      <c r="C9" s="5"/>
      <c r="D9" s="7" t="s">
        <v>9</v>
      </c>
      <c r="E9" s="8"/>
      <c r="F9" s="8"/>
    </row>
    <row r="10" spans="1:6" x14ac:dyDescent="0.2">
      <c r="A10" s="9" t="s">
        <v>10</v>
      </c>
      <c r="B10" s="5"/>
      <c r="C10" s="5"/>
      <c r="D10" s="10" t="s">
        <v>11</v>
      </c>
      <c r="E10" s="10" t="s">
        <v>12</v>
      </c>
      <c r="F10" s="10" t="s">
        <v>13</v>
      </c>
    </row>
    <row r="11" spans="1:6" x14ac:dyDescent="0.2">
      <c r="A11" s="11"/>
      <c r="B11" s="11"/>
      <c r="C11" s="11"/>
      <c r="D11" s="12"/>
      <c r="E11" s="13"/>
      <c r="F11" s="12"/>
    </row>
    <row r="12" spans="1:6" x14ac:dyDescent="0.2">
      <c r="A12" s="11">
        <v>1</v>
      </c>
      <c r="B12" s="11">
        <v>1</v>
      </c>
      <c r="C12" s="11">
        <v>7</v>
      </c>
      <c r="D12" s="12" t="s">
        <v>14</v>
      </c>
      <c r="E12" s="13">
        <v>206</v>
      </c>
      <c r="F12" s="14">
        <v>53132618142.699997</v>
      </c>
    </row>
    <row r="13" spans="1:6" s="19" customFormat="1" x14ac:dyDescent="0.2">
      <c r="A13" s="15">
        <v>1</v>
      </c>
      <c r="B13" s="15">
        <v>3</v>
      </c>
      <c r="C13" s="15"/>
      <c r="D13" s="16" t="s">
        <v>15</v>
      </c>
      <c r="E13" s="17">
        <f>SUM(E14:E20)</f>
        <v>105336</v>
      </c>
      <c r="F13" s="18">
        <f>SUM(F14:F20)</f>
        <v>2614023001239.3198</v>
      </c>
    </row>
    <row r="14" spans="1:6" x14ac:dyDescent="0.2">
      <c r="A14" s="11">
        <v>1</v>
      </c>
      <c r="B14" s="11">
        <v>3</v>
      </c>
      <c r="C14" s="11">
        <v>1</v>
      </c>
      <c r="D14" s="12" t="s">
        <v>16</v>
      </c>
      <c r="E14" s="13">
        <v>382</v>
      </c>
      <c r="F14" s="14">
        <v>74258791722</v>
      </c>
    </row>
    <row r="15" spans="1:6" x14ac:dyDescent="0.2">
      <c r="A15" s="11">
        <v>1</v>
      </c>
      <c r="B15" s="11">
        <v>3</v>
      </c>
      <c r="C15" s="11">
        <v>2</v>
      </c>
      <c r="D15" s="12" t="s">
        <v>17</v>
      </c>
      <c r="E15" s="13">
        <v>73072</v>
      </c>
      <c r="F15" s="14">
        <v>446188580408.90997</v>
      </c>
    </row>
    <row r="16" spans="1:6" x14ac:dyDescent="0.2">
      <c r="A16" s="11">
        <v>1</v>
      </c>
      <c r="B16" s="11">
        <v>3</v>
      </c>
      <c r="C16" s="11">
        <v>3</v>
      </c>
      <c r="D16" s="12" t="s">
        <v>18</v>
      </c>
      <c r="E16" s="13">
        <v>3260</v>
      </c>
      <c r="F16" s="14">
        <v>1476359738208.8999</v>
      </c>
    </row>
    <row r="17" spans="1:6" x14ac:dyDescent="0.2">
      <c r="A17" s="11">
        <v>1</v>
      </c>
      <c r="B17" s="11">
        <v>3</v>
      </c>
      <c r="C17" s="11">
        <v>4</v>
      </c>
      <c r="D17" s="12" t="s">
        <v>19</v>
      </c>
      <c r="E17" s="13">
        <v>5611</v>
      </c>
      <c r="F17" s="14">
        <v>2055048577940.1699</v>
      </c>
    </row>
    <row r="18" spans="1:6" x14ac:dyDescent="0.2">
      <c r="A18" s="11">
        <v>1</v>
      </c>
      <c r="B18" s="11">
        <v>3</v>
      </c>
      <c r="C18" s="11">
        <v>5</v>
      </c>
      <c r="D18" s="12" t="s">
        <v>20</v>
      </c>
      <c r="E18" s="13">
        <v>22987</v>
      </c>
      <c r="F18" s="14">
        <v>11010910174.469999</v>
      </c>
    </row>
    <row r="19" spans="1:6" x14ac:dyDescent="0.2">
      <c r="A19" s="11">
        <v>1</v>
      </c>
      <c r="B19" s="11">
        <v>3</v>
      </c>
      <c r="C19" s="11">
        <v>6</v>
      </c>
      <c r="D19" s="12" t="s">
        <v>21</v>
      </c>
      <c r="E19" s="13">
        <v>24</v>
      </c>
      <c r="F19" s="14">
        <v>49039795634</v>
      </c>
    </row>
    <row r="20" spans="1:6" x14ac:dyDescent="0.2">
      <c r="A20" s="11">
        <v>1</v>
      </c>
      <c r="B20" s="11">
        <v>3</v>
      </c>
      <c r="C20" s="11">
        <v>7</v>
      </c>
      <c r="D20" s="12" t="s">
        <v>22</v>
      </c>
      <c r="E20" s="20">
        <v>0</v>
      </c>
      <c r="F20" s="21">
        <v>-1497883392849.1299</v>
      </c>
    </row>
    <row r="21" spans="1:6" s="19" customFormat="1" x14ac:dyDescent="0.2">
      <c r="A21" s="15">
        <v>1</v>
      </c>
      <c r="B21" s="15">
        <v>5</v>
      </c>
      <c r="C21" s="15"/>
      <c r="D21" s="16" t="s">
        <v>23</v>
      </c>
      <c r="E21" s="17">
        <f>SUM(E22:E26)</f>
        <v>595</v>
      </c>
      <c r="F21" s="18">
        <f>SUM(F22:F26)</f>
        <v>17022254222.259998</v>
      </c>
    </row>
    <row r="22" spans="1:6" x14ac:dyDescent="0.2">
      <c r="A22" s="11">
        <v>1</v>
      </c>
      <c r="B22" s="11">
        <v>5</v>
      </c>
      <c r="C22" s="11">
        <v>2</v>
      </c>
      <c r="D22" s="12" t="s">
        <v>24</v>
      </c>
      <c r="E22" s="13">
        <f>4+64+46+12+2+1+3+1+11+3+1+16+1</f>
        <v>165</v>
      </c>
      <c r="F22" s="14">
        <v>26137513761.689999</v>
      </c>
    </row>
    <row r="23" spans="1:6" x14ac:dyDescent="0.2">
      <c r="A23" s="11">
        <v>1</v>
      </c>
      <c r="B23" s="11">
        <v>5</v>
      </c>
      <c r="C23" s="11">
        <v>3</v>
      </c>
      <c r="D23" s="12" t="s">
        <v>25</v>
      </c>
      <c r="E23" s="13">
        <v>7</v>
      </c>
      <c r="F23" s="14">
        <v>1130595000</v>
      </c>
    </row>
    <row r="24" spans="1:6" x14ac:dyDescent="0.2">
      <c r="A24" s="11">
        <v>1</v>
      </c>
      <c r="B24" s="11">
        <v>5</v>
      </c>
      <c r="C24" s="11">
        <v>4</v>
      </c>
      <c r="D24" s="12" t="s">
        <v>26</v>
      </c>
      <c r="E24" s="13">
        <f>282+2+92+6+7+25+8+1</f>
        <v>423</v>
      </c>
      <c r="F24" s="14">
        <v>4331094195.3900003</v>
      </c>
    </row>
    <row r="25" spans="1:6" x14ac:dyDescent="0.2">
      <c r="A25" s="11">
        <v>1</v>
      </c>
      <c r="B25" s="11">
        <v>5</v>
      </c>
      <c r="C25" s="11">
        <v>5</v>
      </c>
      <c r="D25" s="12" t="s">
        <v>27</v>
      </c>
      <c r="E25" s="20">
        <v>0</v>
      </c>
      <c r="F25" s="21">
        <v>-481967000</v>
      </c>
    </row>
    <row r="26" spans="1:6" x14ac:dyDescent="0.2">
      <c r="A26" s="11">
        <v>1</v>
      </c>
      <c r="B26" s="11">
        <v>5</v>
      </c>
      <c r="C26" s="11">
        <v>6</v>
      </c>
      <c r="D26" s="12" t="s">
        <v>28</v>
      </c>
      <c r="E26" s="20">
        <v>0</v>
      </c>
      <c r="F26" s="21">
        <v>-14094981734.82</v>
      </c>
    </row>
    <row r="29" spans="1:6" x14ac:dyDescent="0.2">
      <c r="B29" s="22"/>
      <c r="C29" s="22"/>
      <c r="D29" s="19"/>
      <c r="E29" s="1" t="s">
        <v>29</v>
      </c>
      <c r="F29" s="1"/>
    </row>
    <row r="30" spans="1:6" x14ac:dyDescent="0.2">
      <c r="B30" s="23" t="s">
        <v>30</v>
      </c>
      <c r="C30" s="23"/>
      <c r="D30" s="23"/>
      <c r="E30" s="1" t="s">
        <v>31</v>
      </c>
      <c r="F30" s="1"/>
    </row>
    <row r="31" spans="1:6" x14ac:dyDescent="0.2">
      <c r="B31" s="23" t="s">
        <v>32</v>
      </c>
      <c r="C31" s="23"/>
      <c r="D31" s="23"/>
      <c r="E31" s="24"/>
      <c r="F31" s="19"/>
    </row>
    <row r="32" spans="1:6" x14ac:dyDescent="0.2">
      <c r="B32" s="22"/>
      <c r="C32" s="22"/>
      <c r="D32" s="19"/>
      <c r="E32" s="24"/>
      <c r="F32" s="19"/>
    </row>
    <row r="33" spans="2:6" x14ac:dyDescent="0.2">
      <c r="B33" s="22"/>
      <c r="C33" s="22"/>
      <c r="D33" s="19"/>
      <c r="E33" s="24"/>
      <c r="F33" s="19"/>
    </row>
    <row r="34" spans="2:6" x14ac:dyDescent="0.2">
      <c r="B34" s="25" t="s">
        <v>33</v>
      </c>
      <c r="C34" s="25"/>
      <c r="D34" s="25"/>
      <c r="E34" s="26" t="s">
        <v>34</v>
      </c>
      <c r="F34" s="26"/>
    </row>
    <row r="35" spans="2:6" x14ac:dyDescent="0.2">
      <c r="B35" s="23" t="s">
        <v>35</v>
      </c>
      <c r="C35" s="23"/>
      <c r="D35" s="23"/>
      <c r="E35" s="1" t="s">
        <v>36</v>
      </c>
      <c r="F35" s="1"/>
    </row>
  </sheetData>
  <mergeCells count="18">
    <mergeCell ref="B35:D35"/>
    <mergeCell ref="E35:F35"/>
    <mergeCell ref="A10:C10"/>
    <mergeCell ref="E29:F29"/>
    <mergeCell ref="B30:D30"/>
    <mergeCell ref="E30:F30"/>
    <mergeCell ref="B31:D31"/>
    <mergeCell ref="B34:D34"/>
    <mergeCell ref="E34:F34"/>
    <mergeCell ref="A2:F2"/>
    <mergeCell ref="A3:F3"/>
    <mergeCell ref="A4:F4"/>
    <mergeCell ref="A5:F5"/>
    <mergeCell ref="A6:F6"/>
    <mergeCell ref="A8:D8"/>
    <mergeCell ref="E8:E9"/>
    <mergeCell ref="F8:F9"/>
    <mergeCell ref="A9:C9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2024-08-19T06:06:27Z</dcterms:created>
  <dcterms:modified xsi:type="dcterms:W3CDTF">2024-08-19T06:08:02Z</dcterms:modified>
</cp:coreProperties>
</file>